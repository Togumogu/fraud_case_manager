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sadeyazilim.sharepoint.com/sites/Sade269/Shared Documents/General/225_Fraud Analytics/Arşiv/SFD Solution Design/01_Analiz/"/>
    </mc:Choice>
  </mc:AlternateContent>
  <xr:revisionPtr revIDLastSave="1351" documentId="13_ncr:1_{FD559D34-FC46-485E-A813-07509750F20F}" xr6:coauthVersionLast="47" xr6:coauthVersionMax="47" xr10:uidLastSave="{66C91B0E-49CB-4308-827C-3C140181F2CA}"/>
  <bookViews>
    <workbookView xWindow="-120" yWindow="-120" windowWidth="29040" windowHeight="15720" tabRatio="817" firstSheet="9" activeTab="8" xr2:uid="{00000000-000D-0000-FFFF-FFFF00000000}"/>
  </bookViews>
  <sheets>
    <sheet name="Cover Eklenecek" sheetId="12" r:id="rId1"/>
    <sheet name="Dictionary Eklenecek" sheetId="13" r:id="rId2"/>
    <sheet name="Domain-TriageType-Queue" sheetId="16" r:id="rId3"/>
    <sheet name="Dispositions" sheetId="15" r:id="rId4"/>
    <sheet name="Rule_Requirements" sheetId="1" r:id="rId5"/>
    <sheet name="Transaction Types" sheetId="14" r:id="rId6"/>
    <sheet name="Advanced List" sheetId="10" r:id="rId7"/>
    <sheet name="Mapping_JSON_to_SFD" sheetId="4" r:id="rId8"/>
    <sheet name="Authorization Matrix" sheetId="17" r:id="rId9"/>
    <sheet name="PV_Design" sheetId="2" r:id="rId10"/>
  </sheets>
  <definedNames>
    <definedName name="_xlnm._FilterDatabase" localSheetId="4" hidden="1">Rule_Requirements!$A$1:$O$90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4" l="1"/>
  <c r="F16" i="14"/>
  <c r="F15" i="14"/>
  <c r="F10" i="14"/>
  <c r="F6" i="14"/>
  <c r="F12" i="14"/>
  <c r="F11" i="14"/>
  <c r="F8" i="14"/>
  <c r="F9" i="14"/>
  <c r="F7" i="14"/>
  <c r="F5" i="14"/>
  <c r="F4" i="14"/>
  <c r="F3" i="14"/>
  <c r="F2" i="1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129" i="4"/>
  <c r="F130" i="4"/>
  <c r="F131" i="4"/>
  <c r="F132" i="4"/>
  <c r="F133" i="4"/>
  <c r="F134" i="4"/>
  <c r="F135" i="4"/>
  <c r="F136" i="4"/>
  <c r="F137" i="4"/>
  <c r="F138" i="4"/>
  <c r="F139" i="4"/>
  <c r="F140" i="4"/>
  <c r="F141" i="4"/>
  <c r="F142" i="4"/>
  <c r="F143" i="4"/>
  <c r="F144"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106" i="4"/>
  <c r="F107" i="4"/>
  <c r="F108" i="4"/>
  <c r="F109" i="4"/>
  <c r="F110" i="4"/>
  <c r="F111" i="4"/>
  <c r="F112" i="4"/>
  <c r="F113" i="4"/>
  <c r="F114" i="4"/>
  <c r="F115" i="4"/>
  <c r="F116" i="4"/>
  <c r="F117" i="4"/>
  <c r="F118" i="4"/>
  <c r="F119" i="4"/>
  <c r="F120" i="4"/>
  <c r="F121" i="4"/>
  <c r="F122" i="4"/>
  <c r="F123" i="4"/>
  <c r="F124" i="4"/>
  <c r="F125" i="4"/>
  <c r="F126" i="4"/>
  <c r="F127" i="4"/>
  <c r="F128" i="4"/>
  <c r="F93" i="4"/>
  <c r="F94" i="4"/>
  <c r="F95" i="4"/>
  <c r="F96" i="4"/>
  <c r="F97" i="4"/>
  <c r="F98" i="4"/>
  <c r="F99" i="4"/>
  <c r="F100" i="4"/>
  <c r="F101" i="4"/>
  <c r="F102" i="4"/>
  <c r="F103" i="4"/>
  <c r="F104" i="4"/>
  <c r="F105"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18" i="4"/>
  <c r="F19" i="4"/>
  <c r="F20" i="4"/>
  <c r="F21" i="4"/>
  <c r="F22" i="4"/>
  <c r="F23" i="4"/>
  <c r="F24" i="4"/>
  <c r="F25" i="4"/>
  <c r="F26" i="4"/>
  <c r="F27" i="4"/>
  <c r="F28" i="4"/>
  <c r="F29" i="4"/>
  <c r="F30" i="4"/>
  <c r="F31" i="4"/>
  <c r="F32" i="4"/>
  <c r="F33" i="4"/>
  <c r="F34" i="4"/>
  <c r="F35" i="4"/>
  <c r="F36" i="4"/>
  <c r="F37" i="4"/>
  <c r="F38" i="4"/>
  <c r="F39" i="4"/>
  <c r="F40" i="4"/>
  <c r="F41" i="4"/>
  <c r="F42" i="4"/>
  <c r="F2" i="4"/>
  <c r="F3" i="4"/>
  <c r="F4" i="4"/>
  <c r="F5" i="4"/>
  <c r="F6" i="4"/>
  <c r="F7" i="4"/>
  <c r="F8" i="4"/>
  <c r="F9" i="4"/>
  <c r="F10" i="4"/>
  <c r="F11" i="4"/>
  <c r="F12" i="4"/>
  <c r="F13" i="4"/>
  <c r="F14" i="4"/>
  <c r="F15" i="4"/>
  <c r="F16" i="4"/>
  <c r="F1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tc={ABC0AF7A-2CBE-4474-8718-7551F45605CB}</author>
  </authors>
  <commentList>
    <comment ref="F1" authorId="0" shapeId="0" xr:uid="{ABC0AF7A-2CBE-4474-8718-7551F45605CB}">
      <text>
        <t xml:space="preserve">[Threaded comment]
Your version of Excel allows you to read this threaded comment; however, any edits to it will get removed if the file is opened in a newer version of Excel. Learn more: https://go.microsoft.com/fwlink/?linkid=870924
Comment:
    SFD’ye gönderilen transaction’lar JSON formatındadır.
Bu JSON içindeki alanları SFD’nin iç entity’lerine map ederken:
"Bu değer JSON’un neresinde?"
"Nested bir objenin içinde mi?"
"Array’in kaçıncı elemanı?"
"Transformation’dan önce kaynağı neresi?"
gibi soruların cevabı JSON Path ile verilir.
📌 Örnek bir JSON düşünelim
{ "transaction": { "id": "TX12345", "amount": 250, "currency": "TRY", "customer": { "id": "CUST789", "name": "Ahmet" }, "device": { "id": "DEV111", "ip": "1.2.3.4" } } } 
Bu JSON’a göre Mapping sheet’inde JSON Path şu şekilde olur:
SFD AttributeJSON PathAçıklamatransaction_id$.transaction.idJSON içindeki transaction IDamount$.transaction.amountamount alanıcustomer_id$.transaction.customer.idnested customer objesinden IDdevice_ip$.transaction.device.ipnested device objesindeki ip
$ → root
. → alt alan
[0] → array index’i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tc={9EFB8911-BFE4-4F38-8D37-1CDE0C143D3C}</author>
  </authors>
  <commentList>
    <comment ref="J1" authorId="0" shapeId="0" xr:uid="{9EFB8911-BFE4-4F38-8D37-1CDE0C143D3C}">
      <text>
        <t xml:space="preserve">[Threaded comment]
Your version of Excel allows you to read this threaded comment; however, any edits to it will get removed if the file is opened in a newer version of Excel. Learn more: https://go.microsoft.com/fwlink/?linkid=870924
Comment:
    1️⃣ Düşük Cardinality (ideal, hızlı PV)
pv_decline_count_24h → customer_id bazlı
Bir bankada aktif müşteri sayısı diyelim 300.000.
Sadece aktif güncelleme yapılan müşteri sayısı ~20.000.
➡️ Expected cardinality = 20.000
➡️ Çok iyi, hafif bir PV.
2️⃣ Orta Cardinality
pv_device_to_account_count_7d → device_id bazlı
Banka mobil uygulama cihaz sayısı: 2–3 milyon.
Ama 7 günde işlem yapan aktif cihaz: ~400.000.
➡️ Expected cardinality = 400.000
➡️ SFD bu yükü taşır → orta.
3️⃣ Yüksek Cardinality (riskli)
pv_ip_velocity_1h → IP bazlı
Gerçek zamanlı ödeme sisteminde IP sayısı çok değişkendir.
Saatlik 1–2 milyon unique IP bile olabilir.
➡️ Expected cardinality = 1.000.000–2.000.000
➡️ Çok yüksek → PV yavaş çalışabilir.
Bu PV için optimizasyon gerekli:
Aggregation yapısını küçültmek
PV lifetime azaltmak (1h → 10 min)
Key normalizasyonu (IPv4→/24 subnet gibi)
4️⃣ Aşırı Yüksek Cardinality (kaçınmak gerekir)
pv_transaction_id_history_30d → transaction_id bazlı
Transaction ID benzersizdir → cardinality milyonlarca olur.
➡️ Böyle PV’ler tasarlanmamalıdır.
</t>
      </text>
    </comment>
  </commentList>
</comments>
</file>

<file path=xl/sharedStrings.xml><?xml version="1.0" encoding="utf-8"?>
<sst xmlns="http://schemas.openxmlformats.org/spreadsheetml/2006/main" count="3086" uniqueCount="941">
  <si>
    <t>Domain</t>
  </si>
  <si>
    <t>Triage Type</t>
  </si>
  <si>
    <t>Queue</t>
  </si>
  <si>
    <t>Transactional Fraud</t>
  </si>
  <si>
    <t>Payment</t>
  </si>
  <si>
    <t>High</t>
  </si>
  <si>
    <t>Medium</t>
  </si>
  <si>
    <t>Low</t>
  </si>
  <si>
    <t>Non-Monetary</t>
  </si>
  <si>
    <t>Debit Card</t>
  </si>
  <si>
    <t>Disposition</t>
  </si>
  <si>
    <t>Description</t>
  </si>
  <si>
    <t>Close Immediately</t>
  </si>
  <si>
    <t>Alarm kapatılır.</t>
  </si>
  <si>
    <t>Reactivate Immediately</t>
  </si>
  <si>
    <t>Alarm yeniden aktifleştirilir.</t>
  </si>
  <si>
    <t>Closed unproductive</t>
  </si>
  <si>
    <t>Alarm Not Fraud olarak, kullanıcının belirlediği zamana kadar kapatılır.</t>
  </si>
  <si>
    <t>Skip</t>
  </si>
  <si>
    <t>Alarm karar verilmeden açık kalır ve sonraki alarma geçilir.</t>
  </si>
  <si>
    <t>Save pending</t>
  </si>
  <si>
    <t>Alarm belirlinen tarih saatte kapanacak şekilde güncellenir.</t>
  </si>
  <si>
    <t>Reschedule</t>
  </si>
  <si>
    <t>Alarm belirlenen tarih saatte tekrardan aktifleştirilmek üzere geçici kapatılır.</t>
  </si>
  <si>
    <t>Closed indeterminate</t>
  </si>
  <si>
    <t>Alarm Şüpheli olarak, kullanıcının belirlediği zamana kadar kapatılır.</t>
  </si>
  <si>
    <t>Closed productive</t>
  </si>
  <si>
    <t>Alarm Fraud olarak, kullanıcının belirlediği zamana kadar kapatılır.</t>
  </si>
  <si>
    <t>Move to Queue</t>
  </si>
  <si>
    <t>Alarm başka queueya yönlendirilir.</t>
  </si>
  <si>
    <t>Rule #</t>
  </si>
  <si>
    <t>Rule Category</t>
  </si>
  <si>
    <t>Rule Name</t>
  </si>
  <si>
    <t>Business Problem</t>
  </si>
  <si>
    <t>Triggering Event</t>
  </si>
  <si>
    <t>Rule Description</t>
  </si>
  <si>
    <t>Business Logic</t>
  </si>
  <si>
    <t>Rule Logic DS2</t>
  </si>
  <si>
    <t>Thresholds / Parameters</t>
  </si>
  <si>
    <t>Required Data Fields</t>
  </si>
  <si>
    <t>Profile Variables Used</t>
  </si>
  <si>
    <t>Lookup Lists Used</t>
  </si>
  <si>
    <t>Expected Alarm Type</t>
  </si>
  <si>
    <t>Use Cases</t>
  </si>
  <si>
    <t>Negative Examples</t>
  </si>
  <si>
    <t>ÖRN001</t>
  </si>
  <si>
    <t>IP / Network Risk</t>
  </si>
  <si>
    <t>Yüksek Riskli IP'den yapılan İşlemler</t>
  </si>
  <si>
    <t>Fraud organizasyonları, tespit edilmemek için VPN, proxy ve bot altyapılarını yoğun biçimde kullanır. Müşterinin normal davranışıyla örtüşmeyen bu ağlar üzerinden yapılan işlemler, hesabın yetkisiz kişilerce kullanıldığına işaret eder.</t>
  </si>
  <si>
    <t>Customer</t>
  </si>
  <si>
    <t>Vadesiz hesaptan ödeme veya vadesiz hesaptan yapılan para transferi işleminde, işlemin yapıldığı IP adresi yüksek riskli IP listesinde yer alıyorsa işlemi reddet ve alarm oluştur.</t>
  </si>
  <si>
    <t>IF transactionType IN ("vadesiz hesaptan ödeme","vadesiz hesaptan yapılan para transferi")
AND transaction_ip yüksek riskli IP listesi içerisinde varsa
THEN
    işlemi reddet
    alarm oluştur</t>
  </si>
  <si>
    <t xml:space="preserve">if message.solution.originationType = 'CK' and message.solution.activityType in ('BP','PT','FP','PP') then do;
	if lists.sas_blacklisted_ip.contains(message.digital.ipAddress) then do;
		detection.Decline();
		detection.Alert();
	end;
end;
</t>
  </si>
  <si>
    <t>Anlık</t>
  </si>
  <si>
    <t>message.digital.ipAddress
message.solution.originationType
message.solution.activityType</t>
  </si>
  <si>
    <t>-</t>
  </si>
  <si>
    <t>sas_blacklisted_ip</t>
  </si>
  <si>
    <t>Müşteri hesabına, daha önce farklı fraud vakalarında kullanıldığı bilinen bir IP adresi üzerinden giriş yapılır ve para transferi gerçekleştirilir.</t>
  </si>
  <si>
    <t>Müşterinin kurumsal VPN kullanması veya bankanın whitelist’e aldığı IP’ler</t>
  </si>
  <si>
    <t>ÖRN002</t>
  </si>
  <si>
    <r>
      <t xml:space="preserve">ATO  </t>
    </r>
    <r>
      <rPr>
        <sz val="8"/>
        <color theme="1"/>
        <rFont val="Calibri"/>
        <family val="2"/>
        <scheme val="minor"/>
      </rPr>
      <t>(AccountTakeOver)</t>
    </r>
    <r>
      <rPr>
        <sz val="11"/>
        <color theme="1"/>
        <rFont val="Calibri"/>
        <family val="2"/>
        <scheme val="minor"/>
      </rPr>
      <t xml:space="preserve"> / Behaviour</t>
    </r>
  </si>
  <si>
    <t>Son 10 Dakikada Aynı Kişi Farklı Device Farklı IP - Para Transfer İşlemi</t>
  </si>
  <si>
    <t>Hesap ele geçirme vakalarında saldırganlar, ele geçirdikleri hesapla farklı cihaz ve ağ kombinasyonlarını deneyerek hızlı para çıkışı yapmayı hedefler.</t>
  </si>
  <si>
    <t>Vadesiz hesaptan yapılan ödeme veya vadesiz hesaptan yapılan para transferi işleminde, müşterinin son 10 dakika içindeki işlemlerinde kullanılan cihaz ve IP adreslerinden tamamen farklıysa, işlem beklemeye alınır ve alarm oluşturulur.</t>
  </si>
  <si>
    <t>IF transactionType IN ("vadesiz hesaptan ödeme",
                       "vadesiz hesaptan yapılan para transferi")
AND kullanılan cihaz son 10 dakika içindeki müşteri cihazlarıyla eşleşmiyorsa
AND kullanılan IP son 10 dakika içindeki müşteri IP’leriyle eşleşmiyorsa
THEN
    işlemi beklemeye al
    alarm oluştur</t>
  </si>
  <si>
    <t xml:space="preserve">if message.solution.originationType = 'CK' and message.solution.activityType in ('BP','PT','FP','PP') then do;
recent_device_match = 0;
	recent_ip_match     = 0;
	do i = 1 to 10;
		if message.request.messageDttm - profile.customer.payment_dttm[i] &lt; dhms(0,0,10,0) then do;
			if profile.customer.device_id[i] = message.device.id then
				recent_device_match = 1;
			if profile.customer.ip_address[i] = message.digital.ipAddress then
				recent_ip_match = 1;
		end;
		else leave;
	end;
	if recent_device_match = 0 and recent_ip_match = 0 then do;
		detection.Hold();
		detection.Alert();
	end;
end;
</t>
  </si>
  <si>
    <t>10 dk</t>
  </si>
  <si>
    <t xml:space="preserve">message.digital.ipAddress
message.device.id
message.solution.originationType
message.solution.activityType
message.request.messageDttm
</t>
  </si>
  <si>
    <t>profile.customer.device_id 
profile.customer.ip_address
profile.customer.payment_dttm</t>
  </si>
  <si>
    <t>Aynı müşteri kısa süre içinde hem farklı cihazlardan hem de farklı IP adreslerinden para transferi yapar. Bu davranış, saldırganın farklı ortamlardan erişim denediğini gösterir.</t>
  </si>
  <si>
    <t>Mobil operatör kaynaklı IP değişimi veya Wi-Fi’dan mobil ağa geçiş</t>
  </si>
  <si>
    <t>ÖRN003</t>
  </si>
  <si>
    <t>Velocity / Automation</t>
  </si>
  <si>
    <t>Son 24 Saat içerisinde 20'den fazla Para Transfer  işlemi</t>
  </si>
  <si>
    <t>Otomasyon veya script kullanan fraud senaryolarında, insan davranışıyla uyumsuz şekilde çok sayıda işlem kısa sürede gerçekleştirilir.</t>
  </si>
  <si>
    <t>Vadesiz hesaptan yapılan bir ödeme veya vadesiz hesaptan para transferi işlemi sırasında,
müşterinin son 24 saat içinde 20 veya daha fazla ödeme / transfer işlemi bulunuyorsa,
işlem beklemeye alınır ve alarm oluşturulur.</t>
  </si>
  <si>
    <t>IF transactionType IN ("vadesiz hesaptan ödeme",
                       "vadesiz hesaptan yapılan para transferi")
AND müşteri son 24 saat içinde 20 veya daha fazla ödeme /transfer işlemi gerçekleştirmişse
THEN
    işlemi beklemeye al
    alarm oluştur</t>
  </si>
  <si>
    <t xml:space="preserve">if message.solution.originationType = 'CK' and message.solution.activityType in ('BP','PT','FP','PP') then do;
	transfer_cnt = 0;
	do i = 1 to 21;
		if message.request.messageDttm - profile.customer.payment_dttm[i] &lt; dhms(1,0,0,0) then do;
			transfer_cnt = transfer_cnt + 1;
		end;
		else leave;
	end;
	if transfer_cnt &gt;= 20 then do;
		detection.Hold();
		detection.Alert();
	end;
end;
</t>
  </si>
  <si>
    <t>24 saat</t>
  </si>
  <si>
    <t xml:space="preserve">message.solution.originationType
message.solution.activityType
message.request.messageDttm
</t>
  </si>
  <si>
    <t>profile.customer.payment_dttm</t>
  </si>
  <si>
    <t>Normalde günde birkaç işlem yapan müşteri, bir gün içinde arka arkaya çok sayıda transfer gerçekleştirir.</t>
  </si>
  <si>
    <t>Maaş, kira veya fatura ödeme günleri</t>
  </si>
  <si>
    <t>ÖRN004</t>
  </si>
  <si>
    <t>Beneficiary / Mule Risk</t>
  </si>
  <si>
    <t>Yeni Bir Alıcıya Yüksek Oranda Para Transfer İşlemi</t>
  </si>
  <si>
    <t>Fraudcular, ele geçirdikleri hesaptaki parayı hızlıca mule hesaplara aktarmak için yeni tanımlanan alıcıları kullanır.</t>
  </si>
  <si>
    <t>Vadesiz hesaptan yapılan bir ödeme veya para transferi işlemi,
yeni bir alıcıya yapılıyorsa
ve işlem tutarı hesap bakiyesinin %80’inden fazlaysa,
işlem yüksek riskli kabul edilir. İşlem beklemeye alınır ve alarm oluşturulur.</t>
  </si>
  <si>
    <t>IF transactionType IN ("vadesiz hesaptan ödeme",
                       "vadesiz hesaptan yapılan para transferi")
AND ödeme yapılan alıcıya daha önce işlem yapılmamışsa
AND işlem tutarı hesap bakiyesinin %80’inden fazlaysa
THEN
    işlemi beklemeye al
    alarm oluştur</t>
  </si>
  <si>
    <t xml:space="preserve">if message.solution.originationType = 'CK' and message.solution.activityType in ('BP','PT','FP','PP') then do;
	if profile.customer_beneficiary.payments_made_to_beneficiary_vol = 1 then do;
		if message.payment.amount &gt; message.debitaccount.availableBalance * 0.8 then do;
			detection.Hold();
			detection.Alert();
		end;
	end;		
end;
</t>
  </si>
  <si>
    <t>message.solution.originationType
message.solution.activityType
message.debitaccount.availableBalance
message.payment.amount</t>
  </si>
  <si>
    <t>profile.customer_beneficiary.payments_made_to_beneficiary_vol</t>
  </si>
  <si>
    <t>Müşteri, daha önce hiç para göndermediği bir alıcıya alışılmışın çok üzerinde tutarda transfer yapar.</t>
  </si>
  <si>
    <t>Müşterinin kendi hesabını veya güvenilir bir aile üyesini ilk kez eklemesi</t>
  </si>
  <si>
    <t>ÖRN005</t>
  </si>
  <si>
    <t>Beneficiary / Test Fraud</t>
  </si>
  <si>
    <t>Yeni bir Alıcıya Düşük Tutarda Para Transfer İşlemi</t>
  </si>
  <si>
    <t>Fraud senaryolarında saldırganlar, yüksek tutar öncesinde küçük bir test işlemi yaparak sistemin ve alıcının çalıştığını doğrular.</t>
  </si>
  <si>
    <t>Vadesiz hesaptan yapılan bir ödeme veya para transferi işlemi,
yeni bir alıcıya yapılıyorsa
ve işlem tutarı belirli bir miktardan düşükse,
işlem yüksek riskli kabul edilir. İşlem doğrulamaya alınır ve alarm oluşturulur.</t>
  </si>
  <si>
    <t xml:space="preserve">IF transactionType IN ("vadesiz hesaptan ödeme",
                       "vadesiz hesaptan yapılan para transferi")
AND ödeme yapılan alıcıya daha önce işlem yapılmamışsa
AND işlem tutarı çok düşükse (5 birimin altında)
THEN
    işlemi doğrulamaya al
    alarm oluştur
</t>
  </si>
  <si>
    <t xml:space="preserve">if message.solution.originationType = 'CK' and message.solution.activityType in ('BP','PT','FP','PP') then do;
	if profile.customer_beneficiary.payments_made_to_beneficiary_vol = 1 and message.payment.amount &lt; 5
then do;
		detection.Verify();
		detection.Alert();
	end;	
end;
</t>
  </si>
  <si>
    <t>message.solution.originationType
message.solution.activityType
message.payment.amount</t>
  </si>
  <si>
    <t>Yeni tanımlanan alıcıya küçük bir tutar gönderilir ve hemen ardından daha büyük işlemler planlanır.</t>
  </si>
  <si>
    <t>Aile bireylerine veya arkadaşlara yapılan ilk küçük transferler</t>
  </si>
  <si>
    <t>ÖRN006</t>
  </si>
  <si>
    <t>Device / ATO</t>
  </si>
  <si>
    <t>Aynı müşterinin 15 dakika içerisinde 3 ve üzeri farklı cihazdan işlem yapması</t>
  </si>
  <si>
    <t>Hesabın kısa süre içinde çok sayıda cihazdan kullanılması, hesabın farklı kişiler tarafından kontrol edildiğini düşündürür.</t>
  </si>
  <si>
    <t>Vadesiz hesaptan yapılan ödeme veya para transferi işlemlerinde, kısa süre içinde birden fazla farklı cihazın kullanıldığı durumları tespit etmeyi amaçlar.
Eğer müşteri, son 15 dakika içinde işlemlerini 3 veya daha fazla farklı cihazdan gerçekleştiriyorsa, bu durum olağandışı kabul edilir. İşlem beklemeye alınır ve inceleme için alarm oluşturulur.</t>
  </si>
  <si>
    <t xml:space="preserve">IF transactionType IN ("vadesiz hesaptan ödeme",
           "vadesiz hesaptan yapılan para transferi")
AND müşteri son 15 dakika içinde 3 veya daha fazla farklı cihazdan işlem yapmışsa
THEN
    işlemi beklemeye al
    alarm oluştur
</t>
  </si>
  <si>
    <t xml:space="preserve">if message.solution.originationType = 'CK' and message.solution.activityType in ('BP','PT','FP','PP') then do;
	distinct_device_cnt = 1; 
	do i = 1 to 21;
		if message.request.messageDttm - profile.customer.payment_dttm[i] &lt; dhms(0,0,15,0) 
then do;
			device_seen = 0;
			if profile.customer.device_id[i] = message.device.id then
				device_seen = 1;
			do j = 1 to i-1;
				if profile.customer.device_id[i] = profile.customer.device_id[j] then
					device_seen = 1;
			end;
			if device_seen = 0 then
				distinct_device_cnt = distinct_device_cnt + 1;
		end;
		else leave;
	end;
	if distinct_device_cnt &gt;= 3 then do;
		detection.Hold();
		detection.Alert();
	end;
end;
</t>
  </si>
  <si>
    <t>15 dk</t>
  </si>
  <si>
    <t>message.solution.originationType
message.solution.activityType
message.device.id
message.request.messageDttm</t>
  </si>
  <si>
    <t>profile.customer.device_id 
profile.customer.payment_dttm</t>
  </si>
  <si>
    <t>Aynı müşteri hesabı kısa sürede telefon, tablet ve farklı bilgisayarlardan para transferi yapar.</t>
  </si>
  <si>
    <t>Cihaz değişimi veya uygulama yeniden kurulumu</t>
  </si>
  <si>
    <t>ÖRN007</t>
  </si>
  <si>
    <t>Device Network / Mule</t>
  </si>
  <si>
    <t>Aynı cihazdan 5 dakika içerisinde 3 farklı müşteri adına para transferi yapılması</t>
  </si>
  <si>
    <t>Organize fraud ağlarında tek bir cihaz, çok sayıda farklı hesap için kullanılmaktadır.</t>
  </si>
  <si>
    <t>Device</t>
  </si>
  <si>
    <t>Vadesiz hesaptan yapılan para transferi işlemlerinde, aynı cihazın çok kısa süre içinde birden fazla müşteri tarafından kullanılıp kullanılmadığını tespit etmeyi amaçlar.
Eğer aynı cihazdan, 5 dakika içerisinde, 3 veya daha fazla farklı müşteri adına para transferi işlemi gerçekleştirilirse, bu durum şüpheli kabul edilir. İşlem beklemeye alınır ve inceleme için alarm oluşturulur.</t>
  </si>
  <si>
    <t>IF transactionType IN ("vadesiz hesaptan ödeme",
                       "vadesiz hesaptan yapılan para transferi")
AND aynı cihazdan 5 dakika içerisinde 3 farklı müşteri adına para transferi yapılmışsa
THEN
    işlemi beklemeye al
    alarm oluştur</t>
  </si>
  <si>
    <t>if message.solution.originationType = 'CK'
and message.solution.activityType in ('BP','PT','FP','PP') then do;
    distinct_customer_cnt = 1;
    do i = 1 to 21;
        if message.request.messageDttm
           - profile.device.payment_dttm[i] &lt; dhms(0,0,5,0) then do;
            customer_seen = 0;
            if profile.device.customer_id[i] = message.customer.id then
                customer_seen = 1;
            do j = 1 to i-1;
                if profile.device.customer_id[i] = profile.device.customer_id[j] then
                    customer_seen = 1;
            end;
            if customer_seen = 0 then
                distinct_customer_cnt = distinct_customer_cnt + 1;
        end;
        else leave;
    end;
    if distinct_customer_cnt &gt;= 3 then do;
        detection.Hold();
        detection.Alert();
    end;
end;</t>
  </si>
  <si>
    <t>5 dk</t>
  </si>
  <si>
    <t>message.solution.originationType
message.solution.activityType
message.customer.id
message.request.messageDttm</t>
  </si>
  <si>
    <t>profile.device.customer_id
profile.device.payment_dttm</t>
  </si>
  <si>
    <t>Tek bir cihazdan farklı müşteri hesapları adına para transferi yapılır.</t>
  </si>
  <si>
    <t>Banka şubesi, kiosk veya ortak kullanılan cihazlar</t>
  </si>
  <si>
    <t>ÖRN008</t>
  </si>
  <si>
    <t>Dormant Account Risk</t>
  </si>
  <si>
    <t>Uzun süredir işlem yapmayan hesaptan (90 gün)  aniden yüksek tutarlı transfer</t>
  </si>
  <si>
    <t>Uzun süre pasif kalan hesaplar, fark edilmeden kullanılabileceği için saldırganlar tarafından hedeflenir.</t>
  </si>
  <si>
    <t>Bu kural, uzun süredir işlem yapılmayan vadesiz hesaplardan gerçekleştirilen ani ve yüksek tutarlı para transferlerini tespit etmeyi amaçlar.
Eğer bir hesap son 90 gün içerisinde herhangi bir işlem gerçekleştirmemişse ve bu hesaptan olağan dışı yüksek tutarlı bir ödeme veya para transferi yapılırsa işlem beklemeye alınır ve ilgili ekiplerin incelemesi için alarm oluşturulur.</t>
  </si>
  <si>
    <t xml:space="preserve">IF transactionType IN ("vadesiz hesaptan ödeme",
                       "vadesiz hesaptan yapılan para transferi")
AND hesap son 90 gündür işlem yapmıyorsa
AND işlem tutarı yüksek tutarlıysa
THEN
    işlemi beklemeye al
    alarm oluştur
</t>
  </si>
  <si>
    <t xml:space="preserve">if message.solution.originationType = 'CK'
and message.solution.activityType in ('BP','PT','FP','PP') then do;
    if message.request.messageDttm
       - profile.customer.transaction_dttm[1] &gt;= dhms(90,0,0,0)
    and message.payment.amount &gt; 100000
       then do;
        detection.Hold();
        detection.Alert();
    end;
end;
</t>
  </si>
  <si>
    <t>90 gün</t>
  </si>
  <si>
    <t>message.solution.originationType
message.solution.activityType
message.payment.amount
message.request.messageDttm</t>
  </si>
  <si>
    <t>profile.customer.transaction_dttm</t>
  </si>
  <si>
    <t>Aylardır işlem yapmayan hesap bir anda yüksek tutarlı para transferi yapar.</t>
  </si>
  <si>
    <t>Uzun tatil sonrası yapılan ilk büyük işlem</t>
  </si>
  <si>
    <t>ÖRN009</t>
  </si>
  <si>
    <t>ATO – Critical</t>
  </si>
  <si>
    <t>Şifre değişikliğinden sonra 30 dakika içerisinde yeni bir alıcıya para transferi yapılması</t>
  </si>
  <si>
    <t>Hesap ele geçirme vakalarında saldırganlar şifreyi değiştirip hemen para çıkışı yapar.</t>
  </si>
  <si>
    <t>Bu kural, şifre değişikliğinin hemen ardından gerçekleştirilen riskli para transferlerini tespit etmeyi amaçlar.
Eğer bir müşteri şifresini değiştirdikten sonraki 30 dakika içerisinde, daha önce hiç işlem yapılmamış yeni bir alıcıya para transferi gerçekleştirirse işlem beklemeye alınır ve detaylı inceleme yapılabilmesi için alarm oluşturulur.</t>
  </si>
  <si>
    <t xml:space="preserve">IF transactionType IN ("vadesiz hesaptan ödeme",
                       "vadesiz hesaptan yapılan para transferi")
AND müşterinin şifresi son 30 dakika içinde değiştirilmişse
AND ödeme yapılan alıcı daha önce kullanılmamışsa
THEN
    işlemi beklemeye al
    alarm oluştur
</t>
  </si>
  <si>
    <t xml:space="preserve">if message.solution.originationType = 'CK'
and message.solution.activityType in ('BP','PT','FP','PP') then do;
    if message.request.messageDttm
       - message.customer.lastPassChangeDt &lt;= dhms(0,0,30,0)
    and profile.customer_beneficiary.payments_made_to_beneficiary_vol = 0 then do;
        detection.Hold();
        detection.Alert();
    end;
end;
</t>
  </si>
  <si>
    <t>30 dk</t>
  </si>
  <si>
    <t>message.solution.originationType
message.solution.activityType
message.request.messageDttm
message.customer.lastPassChangeDt</t>
  </si>
  <si>
    <t>Şifre değişikliğinden kısa süre sonra yeni alıcıya transfer yapılır.</t>
  </si>
  <si>
    <t>Kullanıcının kendi isteğiyle şifre değiştirip işlem yapması</t>
  </si>
  <si>
    <t>ÖRN010</t>
  </si>
  <si>
    <t>Credential Abuse / Credential Stuffing</t>
  </si>
  <si>
    <t>Aynı müşteriden son 1 gün içerisinde gelen islemlerin %40 'ı basarisiz ise</t>
  </si>
  <si>
    <t>Bu kural, müşterinin kısa süre içerisinde gerçekleştirdiği işlemlerde olağandışı bir başarısızlık oranı olup olmadığını tespit etmeyi amaçlar.</t>
  </si>
  <si>
    <t>Eğer bir müşteri son 24 saat içerisinde en az 5 işlem gerçekleştirmişse ve bu işlemlerin %40’ı başarısız olmuşsa, bu durum potansiyel bir hesap ele geçirme (ATO), yanlış yetkilendirme denemeleri veya kötü niyetli kullanım göstergesi olarak değerlendirilir.
Bu tür durumlarda ilgili müşteri işlemleri incelemeye alınır ve değerlendirme yapılabilmesi için alarm oluşturulur.</t>
  </si>
  <si>
    <t xml:space="preserve">IF transactionType IN ("vadesiz hesaptan ödeme",
                       "vadesiz hesaptan yapılan para transferi")
IF son 24 saat içerisinde müşteri tarafından
   en az 5 işlem yapılmışsa
AND bu işlemlerin %40’ı başarısızsa
THEN
    alarm oluştur
</t>
  </si>
  <si>
    <t>if message.solution.originationType = 'CK' and message.solution.activityType in ('BP','PT','FP','PP') then do;
    total_txn_cnt  = 0;
    failed_txn_cnt = 0;
    do i = 1 to 21;
        if message.request.messageDttm
           - profile.customer.transaction_dttm[i] &lt; dhms(1,0,0,0) then do;
            total_txn_cnt = total_txn_cnt + 1;
            if profile.customer.transaction_status[i] = 'FAILED' then
                failed_txn_cnt = failed_txn_cnt + 1;
        end;
        else leave;
    end;
    if total_txn_cnt &gt;= 5
       and failed_txn_cnt / total_txn_cnt &gt;= 0.40 then do;
        detection.Hold();
        detection.Alert();
    end;
end;</t>
  </si>
  <si>
    <t>message.solution.originationType
message.solution.activityType
message.request.messageDttm</t>
  </si>
  <si>
    <t>profile.customer.transaction_dttm
profile.customer.transaction_status</t>
  </si>
  <si>
    <t>Müşteri daha önce hiç kullanmadığı bir cihazdan para transferi yapar.</t>
  </si>
  <si>
    <t>Yeni telefon veya bilgisayar satın alınması</t>
  </si>
  <si>
    <t>ÖRN011</t>
  </si>
  <si>
    <t>Geo / Network Risk</t>
  </si>
  <si>
    <t>Son 30 dakikdada farklı ülkelerden giriş yapılarak transfer gerçekleştirilmesi</t>
  </si>
  <si>
    <t>Fiziksel olarak mümkün olmayan kısa süreli ülke değişimleri, VPN veya uzaktan saldırı göstergesidir.</t>
  </si>
  <si>
    <t>Eğer bir müşteri son 30 dakika içerisinde farklı ülkelerden giriş yapmışsa ve bu girişlerden sonra vadesiz hesaptan ödeme veya para transferi işlemi gerçekleştirirse, bu durum potansiyel bir hesap ele geçirme (ATO) veya uzaktan erişim / VPN kullanımı göstergesi olarak değerlendirilir.
Bu tür işlemler beklemeye alınır ve detaylı inceleme yapılabilmesi için alarm oluşturulur.</t>
  </si>
  <si>
    <t xml:space="preserve">IF transactionType IN ("vadesiz hesaptan ödeme",
                       "vadesiz hesaptan yapılan para transferi")
AND son 30 dakika içerisinde
    müşterinin farklı ülkelerden giriş yaptığı tespit edilmişse
THEN
    işlemi beklemeye al
    alarm oluştur
</t>
  </si>
  <si>
    <t>if message.solution.originationType = 'CK' and message.solution.activityType in ('BP','PT','FP','PP') then do;
    distinct_country_cnt = 1;
    do i = 1 to 21;
        if message.request.messageDttm
           - profile.customer.login_dttm[i] &lt; dhms(0,0,30,0) then do;
            country_seen = 0;
            if profile.customer.login_country[i] = message.digital.ipCountryCode then
                country_seen = 1;
            do j = 1 to i-1;
                if profile.customer.login_country[i]= profile.customer.login_country[j] then
                    country_seen = 1;
            end;
            if country_seen = 0 then
                distinct_country_cnt = distinct_country_cnt + 1;
        end;
        else leave;
    end;
    if distinct_country_cnt &gt;= 2 then do;
        detection.Hold();
        detection.Alert();
    end;
end;</t>
  </si>
  <si>
    <t>message.solution.originationType
message.solution.activityType
message.request.messageDttm
message.digital.ipCountryCode</t>
  </si>
  <si>
    <t>profile.customer.login_country
profile.customer.login_dttm</t>
  </si>
  <si>
    <t>Müşteri kısa süre içinde iki farklı ülkeden para transferi yapar.</t>
  </si>
  <si>
    <t>Sınır bölgelerinde seyahat eden müşteriler</t>
  </si>
  <si>
    <t>ÖRN012</t>
  </si>
  <si>
    <t>Geo Behaviour</t>
  </si>
  <si>
    <t>Daha önce işlem yapılmamış bir ülkeden yüksek tutarlı transfer- 6 Ay</t>
  </si>
  <si>
    <t>Fraudcular, tespit edilmemek için müşteri adına ilk kez görülen ülkelerden işlem yapar.</t>
  </si>
  <si>
    <t>Eğer bir müşteri son 6 ay içerisinde işlem yapmadığı bir ülkeden vadesiz hesaptan yüksek tutarlı bir ödeme veya para transferi gerçekleştirirse, bu durum olağandışı kabul edilir ve potansiyel bir hesap ele geçirme (ATO) veya lokasyon bazlı anomali göstergesi olarak değerlendirilir.
Bu tür işlemler beklemeye alınır ve detaylı inceleme için alarm oluşturulur.</t>
  </si>
  <si>
    <t xml:space="preserve">IF transactionType IN ("vadesiz hesaptan ödeme",
                       "vadesiz hesaptan yapılan para transferi")
AND işlem yapılan ülke müşterinin son 6 ayda işlem yaptığı ülkeler arasında değilse
AND işlem tutarı 100000 üzerindeyse
THEN
    işlemi beklemeye al
    alarm oluştur
</t>
  </si>
  <si>
    <t xml:space="preserve">if message.solution.originationType = 'CK' and message.solution.activityType in ('BP','PT','FP','PP') then do;
    country_seen = 0;
    do i = 1 to 21;
        if message.request.messageDttm  - profile.customer.location_country_dttm[i] &lt; dhms(180,0,0,0) then do;
            if profile.customer.location_country[i] = message.digital.ipCountryCode then
                country_seen = 1;
        end;
        else leave;
    end;
    if country_seen = 0
    and message.payment.amount &gt; 100000 then do;
        detection.Hold();
        detection.Alert();
    end;
end;
</t>
  </si>
  <si>
    <t>6 ay</t>
  </si>
  <si>
    <t>message.solution.originationType
message.solution.activityType
message.request.messageDttm
message.payment.amount
message.digital.ipCountryCode</t>
  </si>
  <si>
    <t>profile.customer.location_country_dttm
profile.customer.location_country</t>
  </si>
  <si>
    <t>Müşteri geçmişinde olmayan bir ülkeden yüksek tutarlı transfer yapar.</t>
  </si>
  <si>
    <t>Yurt dışı seyahat veya iş gezisi</t>
  </si>
  <si>
    <t>ÖRN013</t>
  </si>
  <si>
    <t>Time Anomaly</t>
  </si>
  <si>
    <t>Normal işlem saatleri dışında yüksek tutarlı para transferi</t>
  </si>
  <si>
    <t>Fraud faaliyetleri genellikle gece veya mesai dışı saatlerde gerçekleştirilir.</t>
  </si>
  <si>
    <t>Eğer bir müşteri normal işlem saatleri dışında (örneğin gece saatlerinde) 100.000 TL’den yüksek tutarda vadesiz hesaptan ödeme veya para transferi gerçekleştirirse, bu durum olağandışı kabul edilir ve potansiyel bir hesap ele geçirme (ATO) veya yetkisiz kullanım göstergesi olarak değerlendirilir.
Bu tür işlemler beklemeye alınır ve detaylı inceleme yapılabilmesi için alarm oluşturulur.</t>
  </si>
  <si>
    <t xml:space="preserve">IF transactionType IN ("vadesiz hesaptan ödeme",
                       "vadesiz hesaptan yapılan para transferi")
AND işlem normal işlem saatleri dışında yapılıyorsa
AND işlem tutarı 100.000 TL’den fazlaysa
THEN
    işlemi beklemeye al
    alarm oluştur
</t>
  </si>
  <si>
    <t xml:space="preserve">if message.solution.originationType = 'CK'
and message.solution.activityType in ('BP','PT','FP','PP') then do;
    txn_hour = hour(message.request.messageDttm);
    if (txn_hour &lt; 8 or txn_hour &gt;= 18)
    and message.payment.amount &gt; 100000 then do;
        detection.Hold();
        detection.Alert();
    end;
end;
</t>
  </si>
  <si>
    <t>Normal işlem saati 08.00-18.00 kabul edilmiştir.</t>
  </si>
  <si>
    <t>message.solution.originationType
message.solution.activityType
message.request.messageDttm
message.payment.amount</t>
  </si>
  <si>
    <t>Müşteri gece saatlerinde alışılmadık büyüklükte transfer yapar.</t>
  </si>
  <si>
    <t>Vardiyalı çalışan müşteriler</t>
  </si>
  <si>
    <t>ÖRN014</t>
  </si>
  <si>
    <t>Structuring / Smurfing</t>
  </si>
  <si>
    <t>Birbirine yakın tutarlarda çok sayıda küçük transfer yapılması- 1 saat</t>
  </si>
  <si>
    <t>Fraudcular yüksek tutarları parçalayarak tespit eşiklerinin altına inmeye çalışır.</t>
  </si>
  <si>
    <t>Eğer bir müşteri 1 saat içinde, küçük tutarlı ve tutarları birbirine çok yakın olan çok sayıda vadesiz hesaptan ödeme veya para transferi gerçekleştirirse, bu durum parçalama (smurfing) veya şüpheli fon çıkışı göstergesi olarak değerlendirilir.
Bu tür işlemler beklemeye alınır ve detaylı inceleme için alarm oluşturulur.</t>
  </si>
  <si>
    <t xml:space="preserve">IF transactionType IN ("vadesiz hesaptan ödeme",
                       "vadesiz hesaptan yapılan para transferi")
AND son 1 saat içerisinde
    5'ten fazla sayıda transfer yapılmışsa
AND bu transferlerin tutarları 5000'den küçükse
THEN
    işlemi beklemeye al
    alarm oluştur
</t>
  </si>
  <si>
    <t>if message.solution.originationType = 'CK' and message.solution.activityType in ('BP','PT','FP','PP') then do;
    txn_cnt = 0;
    min_amt = message.payment.amount;
    max_amt = message.payment.amount;
    do i = 1 to 21;
        if message.request.messageDttm - profile.customer.payment_dttm[i] &lt; dhms(0,1,0,0) then do;
            if profile.customer.payment_amount[i] &lt; 5000 then do;
                txn_cnt = txn_cnt + 1;
                if profile.customer.payment_amount[i] &lt; min_amt then
                    min_amt = profile.customer.payment_amount[i];
                if profile.customer.payment_amount[i] &gt; max_amt then
                    max_amt = profile.customer.payment_amount[i];
            end;
        end;
        else leave;
    end;
    if txn_cnt &gt;= 5
    and (max_amt - min_amt) / max_amt &lt;= 0.10 then do;
        detection.Hold();
        detection.Alert();
    end;
end;</t>
  </si>
  <si>
    <t>1 saat</t>
  </si>
  <si>
    <t>profile.customer.payment_dttm
profile.customer.payment_amount</t>
  </si>
  <si>
    <t>Kısa sürede benzer tutarlarda çok sayıda küçük transfer yapılır.</t>
  </si>
  <si>
    <t>Fatura veya taksit ödemeleri</t>
  </si>
  <si>
    <t>ÖRN015</t>
  </si>
  <si>
    <t>Blacklist Beneficiary</t>
  </si>
  <si>
    <t>Fraud geçmişi olan alıcıya yapılan transfer- 7 gün</t>
  </si>
  <si>
    <t>Daha önce fraud vakalarında yer alan alıcı hesaplar tekrar tekrar kullanılır.</t>
  </si>
  <si>
    <t>Account</t>
  </si>
  <si>
    <t>Eğer bir müşteri, son 7 gün içerisinde fraud geçmişi bulunan bir alıcıya vadesiz hesaptan ödeme veya para transferi gerçekleştirirse, bu durum yüksek riskli kabul edilir ve potansiyel bir bilinçli dolandırıcılık veya mule hesap kullanımı göstergesi olarak değerlendirilir.
Bu tür işlemler beklemeye alınır ve detaylı inceleme için alarm oluşturulur.</t>
  </si>
  <si>
    <t xml:space="preserve">IF transactionType IN ("vadesiz hesaptan ödeme",
                       "vadesiz hesaptan yapılan para transferi")
AND ödeme yapılan alıcı son 7 gün içinde fraud ile ilişkilendirilmişse
THEN
    işlemi beklemeye al
    alarm oluştur
</t>
  </si>
  <si>
    <t xml:space="preserve">if message.solution.originationType = 'CK' and message.solution.activityType in ('BP','PT','FP','PP') then do;
    if lists.sas_blacklisted_tckn.contains(message.beneficiary.id)
    and message.request.messageDttm
        - lists.sas_fraud_beneficiary_list.fraud_dttm
          (message.beneficiary.id) &lt;= dhms(7,0,0,0) then do;
        detection.Hold();
        detection.Alert();
    end;
end;
</t>
  </si>
  <si>
    <t>7 gün</t>
  </si>
  <si>
    <r>
      <rPr>
        <sz val="11"/>
        <color rgb="FF000000"/>
        <rFont val="Calibri"/>
        <family val="2"/>
        <charset val="162"/>
        <scheme val="minor"/>
      </rPr>
      <t xml:space="preserve">message.solution.originationType
message.solution.activityType
message.request.messageDttm
</t>
    </r>
    <r>
      <rPr>
        <b/>
        <sz val="11"/>
        <color rgb="FF000000"/>
        <rFont val="Calibri"/>
        <family val="2"/>
        <charset val="162"/>
        <scheme val="minor"/>
      </rPr>
      <t>message.beneficiary.id(message.payment.creditReference)</t>
    </r>
  </si>
  <si>
    <t>sas_blacklisted_tckn</t>
  </si>
  <si>
    <t>Müşteri, geçmişte fraud ile ilişkilendirilmiş bir alıcıya para gönderir.</t>
  </si>
  <si>
    <t>Yanlış veya eski blacklist kayıtları</t>
  </si>
  <si>
    <t>ÖRN016</t>
  </si>
  <si>
    <t>Mule Network</t>
  </si>
  <si>
    <t>Son 24 saatte kara listedeki hesaptan para alan alıcının tekrar transfer alması</t>
  </si>
  <si>
    <t>Mule hesaplar, kara listeli hesaplardan gelen parayı hızla başka işlemlerle devam ettirir.</t>
  </si>
  <si>
    <t>Bu kural, kara listede yer alan hesaplardan para alan alıcıların kısa süre içerisinde tekrar transfer almasını tespit etmeyi amaçlar.
Eğer bir alıcı, son 24 saat içerisinde kara listede yer alan bir hesaptan para almışsa (bu bilgi alıcı profiline kaydedilmişse) ve bu süreden sonra yeniden para transferi alırsa, işlem potansiyel dolandırıcılık riski taşır.
Bu tür işlemler beklemeye alınır ve alarm oluşturulur.</t>
  </si>
  <si>
    <t xml:space="preserve">IF transactionType IN ("vadesiz hesaptan ödeme",
                       "vadesiz hesaptan yapılan para transferi")
AND alıcı
    son 24 saat içinde
    kara listedeki bir hesaptan para almışsa
THEN
    işlemi beklemeye al
    alarm oluştur
</t>
  </si>
  <si>
    <t xml:space="preserve">if message.solution.originationType = 'CK' and message.solution.activityType in ('BP','PT','FP','PP') then do;
    if message.request.messageDttm
       - profile.beneficiary.received_from_blacklist_dttm
         &lt; dhms(1,0,0,0) then do;
        detection.Hold();
        detection.Alert();
    end;
end;
</t>
  </si>
  <si>
    <t>profile.beneficiary.received_from_blacklist_dttm</t>
  </si>
  <si>
    <t>sas_blacklisted_fraud_account</t>
  </si>
  <si>
    <t>Kara listeli hesaptan para alan alıcı, kısa süre içinde başka transferler alır.</t>
  </si>
  <si>
    <t>İade veya ters işlem senaryoları</t>
  </si>
  <si>
    <t>ÖRN017</t>
  </si>
  <si>
    <t>Blacklist Device</t>
  </si>
  <si>
    <t>Daha önce blacklist’e girmiş cihazın Para Transfer İşlemi</t>
  </si>
  <si>
    <t>Fraudda kullanıldığı tespit edilen cihazlar tekrar tekrar farklı hesaplarda kullanılır.</t>
  </si>
  <si>
    <t>Bu kural, daha önce kara listeye (blacklist) girmiş bir cihaz üzerinden gerçekleştirilen para transferi işlemlerini tespit etmeyi amaçlar.
Eğer bir para transferi işlemi, geçmişte blacklist’e alınmış bir cihazdan yapılıyorsa, bu işlem yüksek dolandırıcılık riski taşır. Bu tür cihazlar genellikle ele geçirilmiş, kötüye kullanılmış veya fraud faaliyetlerinde yer almış cihazlardır.
Tespit edilen işlemler beklemeye alınır ve alarm oluşturulur.</t>
  </si>
  <si>
    <t xml:space="preserve">IF transactionType IN ("vadesiz hesaptan ödeme",
                       "vadesiz hesaptan yapılan para transferi")
AND işlem
    daha önce blacklist’e girmiş bir cihazdan yapılıyorsa
THEN
    işlemi beklemeye al
    alarm oluştur
</t>
  </si>
  <si>
    <t xml:space="preserve">if message.solution.originationType = 'CK' and message.solution.activityType in ('BP','PT','FP','PP') then do;
    if lists.sas_blacklisted_device.contains(message.device.id) then do;
        detection.Hold();
        detection.Alert();
    end;
end;
</t>
  </si>
  <si>
    <t>message.solution.originationType
message.solution.activityType
message.request.messageDttm
message.device.id</t>
  </si>
  <si>
    <t>sas_blacklisted_device</t>
  </si>
  <si>
    <t>Kara listedeki bir cihazdan yeniden para transferi yapılır.</t>
  </si>
  <si>
    <t>Cihazın yanlış eşleşmesi</t>
  </si>
  <si>
    <t>ÖRN018</t>
  </si>
  <si>
    <t>Blacklist + Geo</t>
  </si>
  <si>
    <t>Blacklist’e girmiş TCKN’nin, ilk kez görülen şehir / ülke üzerinden transfer yapması</t>
  </si>
  <si>
    <t>Fraudcular, kara listeye giren kimlikleri yeni lokasyonlarla maskelemeye çalışır.</t>
  </si>
  <si>
    <t>Bu kural, daha önce kara listeye (blacklist) girmiş bir TCKN’ye ait hesap üzerinden, ilk kez görülen bir şehir veya ülkeden gerçekleştirilen para transferi işlemlerini tespit etmeyi amaçlar.
Blacklist geçmişi bulunan bir müşteri için alışılmadık coğrafi lokasyonlardan yapılan işlemler, hesap ele geçirme veya üçüncü kişiler tarafından yetkisiz kullanım riski taşır.
Bu nedenle ilgili işlem beklemeye alınır ve alarm oluşturulur.</t>
  </si>
  <si>
    <t xml:space="preserve">IF transactionType IN ("vadesiz hesaptan ödeme",
                       "vadesiz hesaptan yapılan para transferi")
AND müşteri (TCKN) blacklist’te ise
AND işlem
    müşterinin daha önce hiç işlem yapmadığı bir şehir
    veya ülkeden gerçekleştiriliyorsa
THEN
    işlemi beklemeye al
    alarm oluştur
</t>
  </si>
  <si>
    <t xml:space="preserve">if message.solution.originationType = 'CK' and message.solution.activityType in ('BP','PT','FP','PP') then do;
    if lists.sas_blacklisted_tckn.contains(message.customer.identifier) then do;
        city_seen = 0;
        do i = 1 to 21;
            if profile.customer.city[i] = message.device.ipCity then do;
                city_seen = 1;
                leave;
            end;
        end;
        country_seen = 0;
        do i = 1 to 21;
            if profile.customer.country[i] = message.device.ipCountryCode then do;
                country_seen = 1;
                leave;
            end;
        end;
        if city_seen = 0 and country_seen = 0 then do;
            detection.Hold();
            detection.Alert();
        end;
    end;
end;
</t>
  </si>
  <si>
    <t>İlk kez</t>
  </si>
  <si>
    <t>message.solution.originationType
message.solution.activityType
message.customer.identifier
message.device.ipCity
message.device.ipCountryCode</t>
  </si>
  <si>
    <t>profile.customer.city
profile.customer.location_country</t>
  </si>
  <si>
    <t>Kara listedeki TCKN, daha önce görülmeyen bir lokasyondan işlem yapar.</t>
  </si>
  <si>
    <t>Adres değişikliği veya taşınma</t>
  </si>
  <si>
    <t>ÖRN019</t>
  </si>
  <si>
    <t>Hard Blacklist</t>
  </si>
  <si>
    <t>IP ve Device Blacklistlerinden yapılan Para Transfer İşlemi</t>
  </si>
  <si>
    <t>Birden fazla güçlü risk göstergesinin aynı anda görülmesi neredeyse kesin fraud anlamına gelir.</t>
  </si>
  <si>
    <t>Bu kural, kara listede (blacklist) bulunan IP adresleri ve cihazlar üzerinden gerçekleştirilen para transferi işlemlerini tespit etmeyi amaçlar.
Blacklist’te yer alan IP veya cihazlar, geçmişte dolandırıcılık, hesap ele geçirme veya kötüye kullanım faaliyetleriyle ilişkilendirilmiştir. Bu tür riskli altyapılar üzerinden yapılan para transferleri yüksek fraud riski taşır.
Bu nedenle ilgili işlemler beklemeye alınır ve alarm oluşturulur.</t>
  </si>
  <si>
    <t xml:space="preserve">IF transactionType IN ("vadesiz hesaptan ödeme",
                       "vadesiz hesaptan yapılan para transferi")
AND işlem
    blacklist’te bulunan bir IP adresinden
   VE blacklist’te bulunan bir cihazdan yapılıyorsa
THEN
    işlemi beklemeye al
    alarm oluştur
</t>
  </si>
  <si>
    <t xml:space="preserve">if message.solution.originationType = 'CK' and message.solution.activityType in ('BP','PT','FP','PP') then do;
    if lists.sas_blacklisted_ip.contains(message.digital.ipAddress)
    or lists.sas_blacklisted_device.contains(message.device.id) then do;
        detection.Hold();
        detection.Alert();
    end;
end;
</t>
  </si>
  <si>
    <r>
      <rPr>
        <sz val="11"/>
        <color rgb="FF000000"/>
        <rFont val="Calibri"/>
        <family val="2"/>
        <charset val="162"/>
        <scheme val="minor"/>
      </rPr>
      <t xml:space="preserve">message.solution.originationType
message.solution.activityType
</t>
    </r>
    <r>
      <rPr>
        <b/>
        <sz val="11"/>
        <color rgb="FF000000"/>
        <rFont val="Calibri"/>
        <family val="2"/>
        <charset val="162"/>
        <scheme val="minor"/>
      </rPr>
      <t xml:space="preserve">message.device.id(message.device.macAddress)
</t>
    </r>
    <r>
      <rPr>
        <sz val="11"/>
        <color rgb="FF000000"/>
        <rFont val="Calibri"/>
        <family val="2"/>
        <charset val="162"/>
        <scheme val="minor"/>
      </rPr>
      <t>message.digital.ipAddress</t>
    </r>
  </si>
  <si>
    <t>sas_blacklisted_device
sas_blacklisted_ip</t>
  </si>
  <si>
    <t>Auto-Close</t>
  </si>
  <si>
    <t>Hem IP hem cihaz kara listedeyken para transferi denenir.</t>
  </si>
  <si>
    <t>Test ortamı veya yanlış yapılandırma</t>
  </si>
  <si>
    <t>SFD020</t>
  </si>
  <si>
    <t>SFD021</t>
  </si>
  <si>
    <t>SFD022</t>
  </si>
  <si>
    <t>SFD023</t>
  </si>
  <si>
    <t>SFD024</t>
  </si>
  <si>
    <t>SFD025</t>
  </si>
  <si>
    <t>SFD026</t>
  </si>
  <si>
    <t>SFD027</t>
  </si>
  <si>
    <t>SFD028</t>
  </si>
  <si>
    <t>SFD029</t>
  </si>
  <si>
    <t>SFD030</t>
  </si>
  <si>
    <t>SFD031</t>
  </si>
  <si>
    <t>SFD032</t>
  </si>
  <si>
    <t>SFD033</t>
  </si>
  <si>
    <t>SFD034</t>
  </si>
  <si>
    <t>SFD035</t>
  </si>
  <si>
    <t>SFD036</t>
  </si>
  <si>
    <t>SFD037</t>
  </si>
  <si>
    <t>SFD038</t>
  </si>
  <si>
    <t>SFD039</t>
  </si>
  <si>
    <t>SFD040</t>
  </si>
  <si>
    <t>SFD041</t>
  </si>
  <si>
    <t>SFD042</t>
  </si>
  <si>
    <t>SFD043</t>
  </si>
  <si>
    <t>SFD044</t>
  </si>
  <si>
    <t>SFD045</t>
  </si>
  <si>
    <t>SFD046</t>
  </si>
  <si>
    <t>SFD047</t>
  </si>
  <si>
    <t>SFD048</t>
  </si>
  <si>
    <t>SFD049</t>
  </si>
  <si>
    <t>SFD050</t>
  </si>
  <si>
    <t>SFD051</t>
  </si>
  <si>
    <t>SFD052</t>
  </si>
  <si>
    <t>SFD053</t>
  </si>
  <si>
    <t>SFD054</t>
  </si>
  <si>
    <t>SFD055</t>
  </si>
  <si>
    <t>SFD056</t>
  </si>
  <si>
    <t>SFD057</t>
  </si>
  <si>
    <t>SFD058</t>
  </si>
  <si>
    <t>SFD059</t>
  </si>
  <si>
    <t>SFD060</t>
  </si>
  <si>
    <t>SFD061</t>
  </si>
  <si>
    <t>SFD062</t>
  </si>
  <si>
    <t>SFD063</t>
  </si>
  <si>
    <t>SFD064</t>
  </si>
  <si>
    <t>SFD065</t>
  </si>
  <si>
    <t>SFD066</t>
  </si>
  <si>
    <t>SFD067</t>
  </si>
  <si>
    <t>SFD068</t>
  </si>
  <si>
    <t>SFD069</t>
  </si>
  <si>
    <t>SFD070</t>
  </si>
  <si>
    <t>SFD071</t>
  </si>
  <si>
    <t>SFD072</t>
  </si>
  <si>
    <t>SFD073</t>
  </si>
  <si>
    <t>SFD074</t>
  </si>
  <si>
    <t>SFD075</t>
  </si>
  <si>
    <t>SFD076</t>
  </si>
  <si>
    <t>SFD077</t>
  </si>
  <si>
    <t>SFD078</t>
  </si>
  <si>
    <t>SFD079</t>
  </si>
  <si>
    <t>SFD080</t>
  </si>
  <si>
    <t>SFD081</t>
  </si>
  <si>
    <t>SFD082</t>
  </si>
  <si>
    <t>SFD083</t>
  </si>
  <si>
    <t>SFD084</t>
  </si>
  <si>
    <t>SFD085</t>
  </si>
  <si>
    <t>SFD086</t>
  </si>
  <si>
    <t>SFD087</t>
  </si>
  <si>
    <t>SFD088</t>
  </si>
  <si>
    <t>SFD089</t>
  </si>
  <si>
    <t>Mesaj Tipi</t>
  </si>
  <si>
    <t>İşlem Tipi</t>
  </si>
  <si>
    <t>OriginationType</t>
  </si>
  <si>
    <t>ActivityType</t>
  </si>
  <si>
    <t>Tablo</t>
  </si>
  <si>
    <t>Finansal İşlem</t>
  </si>
  <si>
    <t>Ödeme işlemleri</t>
  </si>
  <si>
    <t>Fatura Ödeme</t>
  </si>
  <si>
    <t>CK</t>
  </si>
  <si>
    <t>BP</t>
  </si>
  <si>
    <t>Otomatik Ödeme</t>
  </si>
  <si>
    <t>Şans Oyunu Ödeme</t>
  </si>
  <si>
    <t>Kripto Ödeme</t>
  </si>
  <si>
    <t>FAST/EFT</t>
  </si>
  <si>
    <t>Fast/EFT (Gelen)</t>
  </si>
  <si>
    <t>FP</t>
  </si>
  <si>
    <t>Fast/EFT (Giden)</t>
  </si>
  <si>
    <t>Karta EFT (Giden)</t>
  </si>
  <si>
    <t>PT</t>
  </si>
  <si>
    <t>HAVALE</t>
  </si>
  <si>
    <t>Havale (Giden)</t>
  </si>
  <si>
    <t>Havale (Gelen)</t>
  </si>
  <si>
    <t>Karta Havale (Giden)</t>
  </si>
  <si>
    <t>SWIFT</t>
  </si>
  <si>
    <t>SWIFT (Giden)</t>
  </si>
  <si>
    <t>SWIFT (Gelen)</t>
  </si>
  <si>
    <t>VIRMAN</t>
  </si>
  <si>
    <t>CKPT</t>
  </si>
  <si>
    <t>Finansal Olmayan İşlem</t>
  </si>
  <si>
    <t>Finansal Olmayan İşlemler</t>
  </si>
  <si>
    <t>Login</t>
  </si>
  <si>
    <t>CS</t>
  </si>
  <si>
    <t>AT</t>
  </si>
  <si>
    <t>Şifre Değişimi</t>
  </si>
  <si>
    <t>Havale : banka içi transfer</t>
  </si>
  <si>
    <t>Eft : farklı bankalar arası transfer</t>
  </si>
  <si>
    <t>Advanced List Name</t>
  </si>
  <si>
    <t>Şüpheli/ Riskli bir durum olabileceği düşünülen cihazlara ait cihaz bilgisinin bulunduğu bir cihaz kara listesidir.</t>
  </si>
  <si>
    <t>Şüpheli/ Riskli bir durum olabileceği düşünülen IP Adreslerinin bulunduğu bir IP kara listesidir.</t>
  </si>
  <si>
    <t>Şüpheli/ Riskli bir durum olabileceği düşünülen kişilere ilişkin TC kimlik no bilgisinin bulunduğu bir TCKN kara listesidir.</t>
  </si>
  <si>
    <t>Şüpheli/ Riskli bir durum olabileceği düşünülen hesaplara ait hesap bilgilerinin bulunduğu bir hesap kara listesidir.</t>
  </si>
  <si>
    <t>SFD Message Schemas</t>
  </si>
  <si>
    <t>Field Name</t>
  </si>
  <si>
    <t>Datatype</t>
  </si>
  <si>
    <t>Length</t>
  </si>
  <si>
    <t>Accsess</t>
  </si>
  <si>
    <t>JSON Path</t>
  </si>
  <si>
    <t>Required/Optional</t>
  </si>
  <si>
    <t>solution</t>
  </si>
  <si>
    <t>authenticationType</t>
  </si>
  <si>
    <t>String</t>
  </si>
  <si>
    <t>Read Only</t>
  </si>
  <si>
    <t>source</t>
  </si>
  <si>
    <t>Read Write</t>
  </si>
  <si>
    <t>messagePriority</t>
  </si>
  <si>
    <t>messageVisibility</t>
  </si>
  <si>
    <t>customerType</t>
  </si>
  <si>
    <t>messageTz</t>
  </si>
  <si>
    <t>messageDtTmUtc</t>
  </si>
  <si>
    <t>Timestamp</t>
  </si>
  <si>
    <t>sourceDesc</t>
  </si>
  <si>
    <t>messageOntimeInd</t>
  </si>
  <si>
    <t>messageOntimeDesc</t>
  </si>
  <si>
    <t>originationType</t>
  </si>
  <si>
    <t>destination</t>
  </si>
  <si>
    <t>activityType</t>
  </si>
  <si>
    <t>messageDtTm</t>
  </si>
  <si>
    <t>channelType</t>
  </si>
  <si>
    <t>destinationDesc</t>
  </si>
  <si>
    <t>applicant</t>
  </si>
  <si>
    <t>name</t>
  </si>
  <si>
    <t>salaryFrequency</t>
  </si>
  <si>
    <t>maritalStatus</t>
  </si>
  <si>
    <t>type</t>
  </si>
  <si>
    <t>previousFirstName</t>
  </si>
  <si>
    <t>dependents</t>
  </si>
  <si>
    <t>Integer</t>
  </si>
  <si>
    <t>language</t>
  </si>
  <si>
    <t>languageCode</t>
  </si>
  <si>
    <t>educationLevel</t>
  </si>
  <si>
    <t>monthlyRegularIncome</t>
  </si>
  <si>
    <t>Number</t>
  </si>
  <si>
    <t>identifierDesc</t>
  </si>
  <si>
    <t>residentialStatus</t>
  </si>
  <si>
    <t>category</t>
  </si>
  <si>
    <t>identifier</t>
  </si>
  <si>
    <t>vipFlg</t>
  </si>
  <si>
    <t>Boolean</t>
  </si>
  <si>
    <t>outstandingDebt</t>
  </si>
  <si>
    <t>incomeStatusType</t>
  </si>
  <si>
    <t>previousName</t>
  </si>
  <si>
    <t>gmtOffset</t>
  </si>
  <si>
    <t>gender</t>
  </si>
  <si>
    <t>firstName</t>
  </si>
  <si>
    <t>surname</t>
  </si>
  <si>
    <t>outstandingDebtCurrency</t>
  </si>
  <si>
    <t>previousSurname</t>
  </si>
  <si>
    <t>monthlyRegularOutgoing</t>
  </si>
  <si>
    <t>application</t>
  </si>
  <si>
    <t>securedFlg</t>
  </si>
  <si>
    <t>repaymentScheduleInd</t>
  </si>
  <si>
    <t>startDt</t>
  </si>
  <si>
    <t>statusDesc</t>
  </si>
  <si>
    <t>openDt</t>
  </si>
  <si>
    <t>purpose</t>
  </si>
  <si>
    <t>depositLoanToValue</t>
  </si>
  <si>
    <t>stage</t>
  </si>
  <si>
    <t>protectionPolicyFlg</t>
  </si>
  <si>
    <t>lifeInsuranceFlg</t>
  </si>
  <si>
    <t>channel</t>
  </si>
  <si>
    <t>repaymentScheduleAmount</t>
  </si>
  <si>
    <t>currencyCode</t>
  </si>
  <si>
    <t>depositFlg</t>
  </si>
  <si>
    <t>depositCurrency</t>
  </si>
  <si>
    <t>amount</t>
  </si>
  <si>
    <t>repaymentScheduleDetails</t>
  </si>
  <si>
    <t>updatedDt</t>
  </si>
  <si>
    <t>securityUsdValue</t>
  </si>
  <si>
    <t>depositCurrencyCode</t>
  </si>
  <si>
    <t>securityCurrencyCode</t>
  </si>
  <si>
    <t>securityValue</t>
  </si>
  <si>
    <t>endDt</t>
  </si>
  <si>
    <t>currency</t>
  </si>
  <si>
    <t>securityValueDt</t>
  </si>
  <si>
    <t>matureDt</t>
  </si>
  <si>
    <t>interestRate</t>
  </si>
  <si>
    <t>securityCurrency</t>
  </si>
  <si>
    <t>status</t>
  </si>
  <si>
    <t>stageDesc</t>
  </si>
  <si>
    <t>securityDetails</t>
  </si>
  <si>
    <t>validDt</t>
  </si>
  <si>
    <t>repaymentScheduleUsdAmount</t>
  </si>
  <si>
    <t>term</t>
  </si>
  <si>
    <t>usdAmount</t>
  </si>
  <si>
    <t>subType</t>
  </si>
  <si>
    <t>depositUsdAmount</t>
  </si>
  <si>
    <t>depositAmount</t>
  </si>
  <si>
    <t>authentication</t>
  </si>
  <si>
    <t>decision</t>
  </si>
  <si>
    <t>result</t>
  </si>
  <si>
    <t>event</t>
  </si>
  <si>
    <t>method</t>
  </si>
  <si>
    <t>decisionDetails</t>
  </si>
  <si>
    <t>attemptNumber</t>
  </si>
  <si>
    <t>level</t>
  </si>
  <si>
    <t>decisionScore</t>
  </si>
  <si>
    <t>cardemv</t>
  </si>
  <si>
    <t>cvmrData</t>
  </si>
  <si>
    <t>chipConditionCode</t>
  </si>
  <si>
    <t>terminalVerificationResults</t>
  </si>
  <si>
    <t>hostMaxConsecutiveOfflineTxns</t>
  </si>
  <si>
    <t>chipCardDataScheme</t>
  </si>
  <si>
    <t>lastOnlineApplicationTxnCounter</t>
  </si>
  <si>
    <t>terminalCapabilityProfile</t>
  </si>
  <si>
    <t>chipCardDataStatus</t>
  </si>
  <si>
    <t>cardApplicationTxnCounter</t>
  </si>
  <si>
    <t>applicationInterchangeProfile</t>
  </si>
  <si>
    <t>applicationTxnCounterHost</t>
  </si>
  <si>
    <t>cardVerificationResults</t>
  </si>
  <si>
    <t>arqcValid</t>
  </si>
  <si>
    <t>cardfinancial</t>
  </si>
  <si>
    <t>authenticationDecision</t>
  </si>
  <si>
    <t>posEntryType</t>
  </si>
  <si>
    <t>cardPresentInd</t>
  </si>
  <si>
    <t>cashbackCurrency</t>
  </si>
  <si>
    <t>cashbackCurrencyCode</t>
  </si>
  <si>
    <t>authenticationDecisionScore</t>
  </si>
  <si>
    <t>reversalInd</t>
  </si>
  <si>
    <t>instantCreditInd</t>
  </si>
  <si>
    <t>financialType</t>
  </si>
  <si>
    <t>clientType</t>
  </si>
  <si>
    <t>cashbackAmt</t>
  </si>
  <si>
    <t>standInInd</t>
  </si>
  <si>
    <t>terminalPanEntryInd</t>
  </si>
  <si>
    <t>authorizationDecisionScore</t>
  </si>
  <si>
    <t>customerPresentInd</t>
  </si>
  <si>
    <t>authorizationDecision</t>
  </si>
  <si>
    <t>terminalPinEntryInd</t>
  </si>
  <si>
    <t>typeDesc</t>
  </si>
  <si>
    <t>company</t>
  </si>
  <si>
    <t>joinDt</t>
  </si>
  <si>
    <t>addressLastChangeDt</t>
  </si>
  <si>
    <t>email</t>
  </si>
  <si>
    <t>addressCity</t>
  </si>
  <si>
    <t>officePhone</t>
  </si>
  <si>
    <t>emailLastChangeDt</t>
  </si>
  <si>
    <t>addressCountry</t>
  </si>
  <si>
    <t>officePhoneLastChangeDt</t>
  </si>
  <si>
    <t>addressPostcode</t>
  </si>
  <si>
    <t>registrationDt</t>
  </si>
  <si>
    <t>addressCountryCode</t>
  </si>
  <si>
    <t>address</t>
  </si>
  <si>
    <t>creditaccount</t>
  </si>
  <si>
    <t>delinquencyDays</t>
  </si>
  <si>
    <t>country</t>
  </si>
  <si>
    <t>repaymentSchedule</t>
  </si>
  <si>
    <t>countryCode</t>
  </si>
  <si>
    <t>businessIdentifierCode</t>
  </si>
  <si>
    <t>postcode</t>
  </si>
  <si>
    <t>balanceAlternate</t>
  </si>
  <si>
    <t>city</t>
  </si>
  <si>
    <t>openBalance</t>
  </si>
  <si>
    <t>state</t>
  </si>
  <si>
    <t>overdraftLimit</t>
  </si>
  <si>
    <t>swiftCode</t>
  </si>
  <si>
    <t>repaymentAmount</t>
  </si>
  <si>
    <t>bankType</t>
  </si>
  <si>
    <t>number</t>
  </si>
  <si>
    <t>selfBankFlg</t>
  </si>
  <si>
    <t>sortcode</t>
  </si>
  <si>
    <t>spendLimitType</t>
  </si>
  <si>
    <t>bankName</t>
  </si>
  <si>
    <t>balanceType</t>
  </si>
  <si>
    <t>spendLimit</t>
  </si>
  <si>
    <t>balanceAlternateType</t>
  </si>
  <si>
    <t>delinquencyStatus</t>
  </si>
  <si>
    <t>iban</t>
  </si>
  <si>
    <t>balance</t>
  </si>
  <si>
    <t>availableBalance</t>
  </si>
  <si>
    <t>branchIdentifier</t>
  </si>
  <si>
    <t>desc</t>
  </si>
  <si>
    <t>creditcard</t>
  </si>
  <si>
    <t>securityCodePfToken</t>
  </si>
  <si>
    <t>cardholderPostcode</t>
  </si>
  <si>
    <t>marker</t>
  </si>
  <si>
    <t>issuingCountryCode</t>
  </si>
  <si>
    <t>whichCard</t>
  </si>
  <si>
    <t>expirationMonth</t>
  </si>
  <si>
    <t>lastLimitChangeDt</t>
  </si>
  <si>
    <t>cardholderCountry</t>
  </si>
  <si>
    <t>limit</t>
  </si>
  <si>
    <t>invalidPinTries</t>
  </si>
  <si>
    <t>cardPurpose</t>
  </si>
  <si>
    <t>statusInd</t>
  </si>
  <si>
    <t>sequenceNumber</t>
  </si>
  <si>
    <t>blockCode</t>
  </si>
  <si>
    <t>cyclesOverLimit</t>
  </si>
  <si>
    <t>blockDt</t>
  </si>
  <si>
    <t>issuingCountry</t>
  </si>
  <si>
    <t>lastLimit</t>
  </si>
  <si>
    <t>binCategory</t>
  </si>
  <si>
    <t>accountNumber</t>
  </si>
  <si>
    <t>encryptedSecurityCode</t>
  </si>
  <si>
    <t>lastFourDigits</t>
  </si>
  <si>
    <t>lastPinDt</t>
  </si>
  <si>
    <t>lastExpiration</t>
  </si>
  <si>
    <t>holderName</t>
  </si>
  <si>
    <t>linkedCards</t>
  </si>
  <si>
    <t>activationChannelInd</t>
  </si>
  <si>
    <t>cardMedia</t>
  </si>
  <si>
    <t>issueType</t>
  </si>
  <si>
    <t>issueDt</t>
  </si>
  <si>
    <t>issuingBank</t>
  </si>
  <si>
    <t>invalidPinDt</t>
  </si>
  <si>
    <t>cardholderCountryCode</t>
  </si>
  <si>
    <t>holderEmbossedName</t>
  </si>
  <si>
    <t>cashLimit</t>
  </si>
  <si>
    <t>linkedPaymentAccount</t>
  </si>
  <si>
    <t>activationDt</t>
  </si>
  <si>
    <t>messageExpirationDt</t>
  </si>
  <si>
    <t>encryptedNumber</t>
  </si>
  <si>
    <t>expirationYear</t>
  </si>
  <si>
    <t>expirationDt</t>
  </si>
  <si>
    <t>cashBalance</t>
  </si>
  <si>
    <t>bin</t>
  </si>
  <si>
    <t>customer</t>
  </si>
  <si>
    <t>mobilePhoneLastChangeDt</t>
  </si>
  <si>
    <t>authorityStatusInd</t>
  </si>
  <si>
    <t>mobilePhone</t>
  </si>
  <si>
    <t>nationality</t>
  </si>
  <si>
    <t>employeeJobTitle</t>
  </si>
  <si>
    <t>employerName</t>
  </si>
  <si>
    <t>nationalityCode</t>
  </si>
  <si>
    <t>employeeFlg</t>
  </si>
  <si>
    <t>homePhone</t>
  </si>
  <si>
    <t>employeeStartDt</t>
  </si>
  <si>
    <t>birthDt</t>
  </si>
  <si>
    <t>workPhone</t>
  </si>
  <si>
    <t>homePhoneLastChangeDt</t>
  </si>
  <si>
    <t>dateofbirth</t>
  </si>
  <si>
    <t>birthMonth</t>
  </si>
  <si>
    <t>birthYear</t>
  </si>
  <si>
    <t>birthDay</t>
  </si>
  <si>
    <t>debitaccount</t>
  </si>
  <si>
    <t>debitcard</t>
  </si>
  <si>
    <t>demographic</t>
  </si>
  <si>
    <t>newData2</t>
  </si>
  <si>
    <t>previousData2</t>
  </si>
  <si>
    <t>effectiveDt</t>
  </si>
  <si>
    <t>newData3</t>
  </si>
  <si>
    <t>entityVariable</t>
  </si>
  <si>
    <t>previousData3</t>
  </si>
  <si>
    <t>entityInd</t>
  </si>
  <si>
    <t>newData</t>
  </si>
  <si>
    <t>previousData</t>
  </si>
  <si>
    <t>device</t>
  </si>
  <si>
    <t>ipRegion</t>
  </si>
  <si>
    <t>wifiNetworksInRange</t>
  </si>
  <si>
    <t>String[10]</t>
  </si>
  <si>
    <t>fingerprintType</t>
  </si>
  <si>
    <t>javascriptInd</t>
  </si>
  <si>
    <t>browserOperatingSystem</t>
  </si>
  <si>
    <t>model</t>
  </si>
  <si>
    <t>bluetoothConnections</t>
  </si>
  <si>
    <t>ipPostCode</t>
  </si>
  <si>
    <t>cookiesEnabledFlg</t>
  </si>
  <si>
    <t>operatingSystem</t>
  </si>
  <si>
    <t>ipCity</t>
  </si>
  <si>
    <t>ipLatitude</t>
  </si>
  <si>
    <t>screenWidth</t>
  </si>
  <si>
    <t>ipIsp</t>
  </si>
  <si>
    <t>cpu</t>
  </si>
  <si>
    <t>modelVersion</t>
  </si>
  <si>
    <t>vpnEnabledFlg</t>
  </si>
  <si>
    <t>gpsLongitude</t>
  </si>
  <si>
    <t>ipCountryCode</t>
  </si>
  <si>
    <t>ipDistrict</t>
  </si>
  <si>
    <t>browserLanguage</t>
  </si>
  <si>
    <t>fingerprint</t>
  </si>
  <si>
    <t>ipDomain</t>
  </si>
  <si>
    <t>dataNetworkName</t>
  </si>
  <si>
    <t>bluetoothInRange</t>
  </si>
  <si>
    <t>screenColor</t>
  </si>
  <si>
    <t>ipAddress</t>
  </si>
  <si>
    <t>ipOffset</t>
  </si>
  <si>
    <t>gpsLatitude</t>
  </si>
  <si>
    <t>browserOsVersion</t>
  </si>
  <si>
    <t>macAddress</t>
  </si>
  <si>
    <t>dtTm</t>
  </si>
  <si>
    <t>dataEnabledFlg</t>
  </si>
  <si>
    <t>wifiEnabledFlg</t>
  </si>
  <si>
    <t>screenHeight</t>
  </si>
  <si>
    <t>ipAddressV6</t>
  </si>
  <si>
    <t>gpsEnabledFlg</t>
  </si>
  <si>
    <t>ipLongitude</t>
  </si>
  <si>
    <t>bluetoothEnabledFlg</t>
  </si>
  <si>
    <t>wifiNetworkName</t>
  </si>
  <si>
    <t>osVersion</t>
  </si>
  <si>
    <t>digital</t>
  </si>
  <si>
    <t>httpAcceptCharset</t>
  </si>
  <si>
    <t>sessionEndDtTm</t>
  </si>
  <si>
    <t>httpUserAgent</t>
  </si>
  <si>
    <t>httpReferer</t>
  </si>
  <si>
    <t>sessionIdentifier</t>
  </si>
  <si>
    <t>serverDtTm</t>
  </si>
  <si>
    <t>httpAccept</t>
  </si>
  <si>
    <t>sessionStartDtTm</t>
  </si>
  <si>
    <t>httpHost</t>
  </si>
  <si>
    <t>httpAcceptEncoding</t>
  </si>
  <si>
    <t>httpAcceptLanguage</t>
  </si>
  <si>
    <t>httpFrom</t>
  </si>
  <si>
    <t>emailaddress</t>
  </si>
  <si>
    <t>fullEmail</t>
  </si>
  <si>
    <t>validTo</t>
  </si>
  <si>
    <t>TimeStamp</t>
  </si>
  <si>
    <t>validFrom</t>
  </si>
  <si>
    <t>lastChangeDt</t>
  </si>
  <si>
    <t>domain</t>
  </si>
  <si>
    <t>username</t>
  </si>
  <si>
    <t>employment</t>
  </si>
  <si>
    <t>selfEmployedFlg</t>
  </si>
  <si>
    <t>employeeEndDt</t>
  </si>
  <si>
    <t>employerCurrentFlg</t>
  </si>
  <si>
    <t>employerFullAddress</t>
  </si>
  <si>
    <t>annualSalary</t>
  </si>
  <si>
    <t>employeeIdentifier</t>
  </si>
  <si>
    <t>employerIndustryType</t>
  </si>
  <si>
    <t>identification</t>
  </si>
  <si>
    <t>countryOfIssueCode</t>
  </si>
  <si>
    <t>dateOfIssue</t>
  </si>
  <si>
    <t>countryOfIssue</t>
  </si>
  <si>
    <t>dateOfExpiry</t>
  </si>
  <si>
    <t>issuedBy</t>
  </si>
  <si>
    <t>details</t>
  </si>
  <si>
    <t>location</t>
  </si>
  <si>
    <t>buildingNumber</t>
  </si>
  <si>
    <t>town</t>
  </si>
  <si>
    <t>county</t>
  </si>
  <si>
    <t>postBox</t>
  </si>
  <si>
    <t>toDate</t>
  </si>
  <si>
    <t>floor</t>
  </si>
  <si>
    <t>fromDate</t>
  </si>
  <si>
    <t>region</t>
  </si>
  <si>
    <t>full</t>
  </si>
  <si>
    <t>street</t>
  </si>
  <si>
    <t>buildingName</t>
  </si>
  <si>
    <t>monthsAtLocation</t>
  </si>
  <si>
    <t>merchant</t>
  </si>
  <si>
    <t>terminalPostcode</t>
  </si>
  <si>
    <t>terminalIdentifier</t>
  </si>
  <si>
    <t>alternateCategoryCode</t>
  </si>
  <si>
    <t>terminalCountry</t>
  </si>
  <si>
    <t>terminalCity</t>
  </si>
  <si>
    <t>acquirerCountryCode</t>
  </si>
  <si>
    <t>terminalState</t>
  </si>
  <si>
    <t>acquiringBankName</t>
  </si>
  <si>
    <t>terminalCategory</t>
  </si>
  <si>
    <t>acquiringBankIdentifier</t>
  </si>
  <si>
    <t>terminalClientCategory</t>
  </si>
  <si>
    <t>acquirerCountry</t>
  </si>
  <si>
    <t>acquirerIdentifier</t>
  </si>
  <si>
    <t>terminalCountryCode</t>
  </si>
  <si>
    <t>categoryCode</t>
  </si>
  <si>
    <t>terminalType</t>
  </si>
  <si>
    <t>payment</t>
  </si>
  <si>
    <t>beneficiaryCreatedDt</t>
  </si>
  <si>
    <t>trustedBeneficiaryFlg</t>
  </si>
  <si>
    <t>templateFlg</t>
  </si>
  <si>
    <t>creditDt</t>
  </si>
  <si>
    <t>batchIdentifier</t>
  </si>
  <si>
    <t>currencyCutoffDt</t>
  </si>
  <si>
    <t>reversalFlg</t>
  </si>
  <si>
    <t>debitCurrency</t>
  </si>
  <si>
    <t>revision</t>
  </si>
  <si>
    <t>templateCreatedDt</t>
  </si>
  <si>
    <t>newBeneficiaryFlg</t>
  </si>
  <si>
    <t>debitCurrencyCode</t>
  </si>
  <si>
    <t>debitDetails</t>
  </si>
  <si>
    <t>scheduleDetails</t>
  </si>
  <si>
    <t>scheduleInd</t>
  </si>
  <si>
    <t>creditCurrency</t>
  </si>
  <si>
    <t>batchFlg</t>
  </si>
  <si>
    <t>valueDt</t>
  </si>
  <si>
    <t>debitDt</t>
  </si>
  <si>
    <t>billingReferenceNumber</t>
  </si>
  <si>
    <t>direction</t>
  </si>
  <si>
    <t>batchCount</t>
  </si>
  <si>
    <t>creditReference</t>
  </si>
  <si>
    <t>createdDt</t>
  </si>
  <si>
    <t>creditDetails</t>
  </si>
  <si>
    <t>batchReferenceNumber</t>
  </si>
  <si>
    <t>scheduleFlg</t>
  </si>
  <si>
    <t>referenceNumber</t>
  </si>
  <si>
    <t>directDebitFlg</t>
  </si>
  <si>
    <t>debitReference</t>
  </si>
  <si>
    <t>creditCurrencyCode</t>
  </si>
  <si>
    <t>phone</t>
  </si>
  <si>
    <t>line</t>
  </si>
  <si>
    <t>extension</t>
  </si>
  <si>
    <t>areaCode</t>
  </si>
  <si>
    <t>prefix</t>
  </si>
  <si>
    <t>Capability</t>
  </si>
  <si>
    <t>Name</t>
  </si>
  <si>
    <t>Scope</t>
  </si>
  <si>
    <t>Junior Rules Editor</t>
  </si>
  <si>
    <t>Rules Editor</t>
  </si>
  <si>
    <t>Senior Rules Editor</t>
  </si>
  <si>
    <t>System Administrators</t>
  </si>
  <si>
    <t xml:space="preserve">Add Alert Types </t>
  </si>
  <si>
    <t xml:space="preserve">sda.alert.types.create </t>
  </si>
  <si>
    <t xml:space="preserve"> System </t>
  </si>
  <si>
    <t xml:space="preserve">  </t>
  </si>
  <si>
    <t xml:space="preserve"> Yes</t>
  </si>
  <si>
    <t xml:space="preserve">Delete an Alert Type </t>
  </si>
  <si>
    <t xml:space="preserve">sda.alert.types.delete </t>
  </si>
  <si>
    <t xml:space="preserve">Update Alert Types </t>
  </si>
  <si>
    <t xml:space="preserve">sda.alert.types.update </t>
  </si>
  <si>
    <t xml:space="preserve">View Alert Types </t>
  </si>
  <si>
    <t xml:space="preserve">sda.alert.types.view </t>
  </si>
  <si>
    <t xml:space="preserve"> Yes </t>
  </si>
  <si>
    <t xml:space="preserve">Add Impact Analysis </t>
  </si>
  <si>
    <t xml:space="preserve">sda.impact.analyses.add </t>
  </si>
  <si>
    <t xml:space="preserve"> Project </t>
  </si>
  <si>
    <t xml:space="preserve"> </t>
  </si>
  <si>
    <t xml:space="preserve">View Impact Analysis details
</t>
  </si>
  <si>
    <t xml:space="preserve">sda.impact.analyses.view </t>
  </si>
  <si>
    <t xml:space="preserve">Deploy an organization's artifacts such as rules, schemas, models, and so on </t>
  </si>
  <si>
    <t xml:space="preserve">sda.deployments.create </t>
  </si>
  <si>
    <t xml:space="preserve"> Organization </t>
  </si>
  <si>
    <t>View an organization's deployment of artifacts</t>
  </si>
  <si>
    <t xml:space="preserve">sda.deployments.view </t>
  </si>
  <si>
    <t xml:space="preserve">Create, Cancel, and Delete Impact Analysis
</t>
  </si>
  <si>
    <t xml:space="preserve">sda.impact.a
nalyses.upd
ate
</t>
  </si>
  <si>
    <t xml:space="preserve">Administer message classifications, such as create or view message classifications outside an organization's context
</t>
  </si>
  <si>
    <t>sda.messag
e.classificati
ons.manage</t>
  </si>
  <si>
    <t>Yes</t>
  </si>
  <si>
    <t xml:space="preserve">View Message Classifications </t>
  </si>
  <si>
    <t xml:space="preserve">sda.message.classifications.view </t>
  </si>
  <si>
    <t>Sensitive message data is never masked.</t>
  </si>
  <si>
    <t xml:space="preserve">sda.messag
es.never_ma
sk
</t>
  </si>
  <si>
    <t>Sensitive data that is masked can be unmasked</t>
  </si>
  <si>
    <t xml:space="preserve">sda.messages.unmask </t>
  </si>
  <si>
    <t>View Models and Association's</t>
  </si>
  <si>
    <t xml:space="preserve">sda.models.view </t>
  </si>
  <si>
    <t xml:space="preserve">Add Models </t>
  </si>
  <si>
    <t>sda.models.create</t>
  </si>
  <si>
    <t>Update Models and Association's</t>
  </si>
  <si>
    <t xml:space="preserve">sda.models.update </t>
  </si>
  <si>
    <t>Delete Models and Association's</t>
  </si>
  <si>
    <t xml:space="preserve">sda.models.delete </t>
  </si>
  <si>
    <t>Display Advanced Lists menu in the Navigation panel</t>
  </si>
  <si>
    <t>sda.navigati
on.advanced
.lists</t>
  </si>
  <si>
    <t xml:space="preserve">Display Alert Types menu in the Navigation panel
</t>
  </si>
  <si>
    <t>sda.navigati
on.alert.typ
es</t>
  </si>
  <si>
    <t>Display Deployment's menu in the Navigation panel</t>
  </si>
  <si>
    <t xml:space="preserve">sda.navigati
on.deploym
ents
</t>
  </si>
  <si>
    <t>Display Impact Analyses menu in the Navigation panel</t>
  </si>
  <si>
    <t>sda.navigati
on.impact.a
nalyses</t>
  </si>
  <si>
    <t>Display Message Classifications menu in the Navigation panel</t>
  </si>
  <si>
    <t>sda.navigati
on.message.
classificatio
ns</t>
  </si>
  <si>
    <t>Display Message Schemas menu in the Navigation panel</t>
  </si>
  <si>
    <t>sda.navigati
on.message.
schemas</t>
  </si>
  <si>
    <t xml:space="preserve">Display Models menu in the Navigation panel
</t>
  </si>
  <si>
    <t xml:space="preserve">sda.navigati
on.models
</t>
  </si>
  <si>
    <t>Display Organizations menu in the Navigation panel</t>
  </si>
  <si>
    <t>sda.navigati
on.organizat
ions</t>
  </si>
  <si>
    <t>Display Profiles menu in the Navigation panel.</t>
  </si>
  <si>
    <t>sda.navigati
on.profiles</t>
  </si>
  <si>
    <t>Display Projects menu in the Navigation panel</t>
  </si>
  <si>
    <t xml:space="preserve">sda.navigati
on.projects
</t>
  </si>
  <si>
    <t xml:space="preserve">Display Rules menu in the Navigation panel
</t>
  </si>
  <si>
    <t>sda.navigati
on.rules</t>
  </si>
  <si>
    <t xml:space="preserve">Add Organizations and message classifications
</t>
  </si>
  <si>
    <t>sda.organizations.create</t>
  </si>
  <si>
    <t>Delete organizations and message classifications, and associations</t>
  </si>
  <si>
    <t xml:space="preserve">sda.organizations.delete </t>
  </si>
  <si>
    <t>Modify organizations and message classifications, and Add/Remove associations</t>
  </si>
  <si>
    <t xml:space="preserve">sda.organizations.update </t>
  </si>
  <si>
    <t>View organizations and message classifications, and association of roles and schemas</t>
  </si>
  <si>
    <t xml:space="preserve">sda.organizations.view </t>
  </si>
  <si>
    <t>Add Projects and Associations</t>
  </si>
  <si>
    <t xml:space="preserve">sda.projects.
create
</t>
  </si>
  <si>
    <t>Delete Projects and Associations</t>
  </si>
  <si>
    <t xml:space="preserve">sda.projects.delete </t>
  </si>
  <si>
    <t>Modify Projects and Associations</t>
  </si>
  <si>
    <t>sda.projects.update</t>
  </si>
  <si>
    <t>View Projects and Associations</t>
  </si>
  <si>
    <t>sda.projects.
view</t>
  </si>
  <si>
    <t>Project</t>
  </si>
  <si>
    <t>View SDA Roles and Users</t>
  </si>
  <si>
    <t>sda.roles.an
d.users.view</t>
  </si>
  <si>
    <t>Approve Rule Promotion Requests by Others</t>
  </si>
  <si>
    <t xml:space="preserve">sda.rules.approve.promote </t>
  </si>
  <si>
    <t>Approve Rule Recycle Requests by Others</t>
  </si>
  <si>
    <t xml:space="preserve">sda.rules.approve.recycle </t>
  </si>
  <si>
    <t>Empty rules in Recycle</t>
  </si>
  <si>
    <t xml:space="preserve">sda.rules.delete </t>
  </si>
  <si>
    <t>Disable/Enable Rules</t>
  </si>
  <si>
    <t xml:space="preserve">sda.rules.enableDisable </t>
  </si>
  <si>
    <t xml:space="preserve">Promote Rules Without Review </t>
  </si>
  <si>
    <t xml:space="preserve">sda.rules.promote </t>
  </si>
  <si>
    <t xml:space="preserve">Recycle Rules Without Approval </t>
  </si>
  <si>
    <t xml:space="preserve">sda.rules.recycle </t>
  </si>
  <si>
    <t>Add/Modify Rules</t>
  </si>
  <si>
    <t xml:space="preserve">sda.rules.update </t>
  </si>
  <si>
    <t xml:space="preserve">View Rules </t>
  </si>
  <si>
    <t xml:space="preserve">sda.rules.view </t>
  </si>
  <si>
    <t>Alert create</t>
  </si>
  <si>
    <t>triage.alert.alert_creation</t>
  </si>
  <si>
    <t>Alert Triage</t>
  </si>
  <si>
    <t xml:space="preserve">Alert batch create
</t>
  </si>
  <si>
    <t xml:space="preserve">triage.alert.batch_alert_creation </t>
  </si>
  <si>
    <t>Triage and disposition alerts</t>
  </si>
  <si>
    <t>triage.alert.work</t>
  </si>
  <si>
    <t xml:space="preserve">External alert disposition
</t>
  </si>
  <si>
    <t xml:space="preserve">triage.alert.external_disposition </t>
  </si>
  <si>
    <t xml:space="preserve">Search alerts </t>
  </si>
  <si>
    <t>triage.alert.search</t>
  </si>
  <si>
    <t xml:space="preserve">Priority alert servicing
</t>
  </si>
  <si>
    <t>triage.alert.priority_servicing</t>
  </si>
  <si>
    <t>Direct alert servicing</t>
  </si>
  <si>
    <t>triage.alert.direct_servicing</t>
  </si>
  <si>
    <t xml:space="preserve">Alert management
</t>
  </si>
  <si>
    <t>triage.alert.management</t>
  </si>
  <si>
    <t>Alert lock override</t>
  </si>
  <si>
    <t>triage.alert.lock_override</t>
  </si>
  <si>
    <t>Bulk alert disposition</t>
  </si>
  <si>
    <t>triage.alert.bulk_disposition</t>
  </si>
  <si>
    <t xml:space="preserve">Unmasking of data
</t>
  </si>
  <si>
    <t>triage.alert.unmask</t>
  </si>
  <si>
    <t>Data masking is never applied</t>
  </si>
  <si>
    <t>triage.alert.never_mask</t>
  </si>
  <si>
    <t>View external alert data</t>
  </si>
  <si>
    <t xml:space="preserve">triage.alert.external_data </t>
  </si>
  <si>
    <t xml:space="preserve">Alert administrator
</t>
  </si>
  <si>
    <t>triage.alert.administrator</t>
  </si>
  <si>
    <t xml:space="preserve">Alert import configuration
</t>
  </si>
  <si>
    <t>triage.alert.import_config</t>
  </si>
  <si>
    <t>Add values to advanced lists</t>
  </si>
  <si>
    <t xml:space="preserve">triage.alert.add_to_list </t>
  </si>
  <si>
    <t>Remove values from advanced lists</t>
  </si>
  <si>
    <t>triage.alert.remove_from_list</t>
  </si>
  <si>
    <t xml:space="preserve">View values on advanced lists
</t>
  </si>
  <si>
    <t xml:space="preserve">triage.alert.list_membership_visibility </t>
  </si>
  <si>
    <t>Source</t>
  </si>
  <si>
    <t>PV Name</t>
  </si>
  <si>
    <t>Input Fields</t>
  </si>
  <si>
    <t>Calculation Logic</t>
  </si>
  <si>
    <t>Update logic code (Pseudo)</t>
  </si>
  <si>
    <t>Time Horizons</t>
  </si>
  <si>
    <t>Key Field</t>
  </si>
  <si>
    <t>Used By Rules</t>
  </si>
  <si>
    <t>Cardinality Impact</t>
  </si>
  <si>
    <t>profile.customer.city</t>
  </si>
  <si>
    <t>profile.customer.device_id</t>
  </si>
  <si>
    <t>profile.customer.ip_address</t>
  </si>
  <si>
    <t>profile.customer.location_country</t>
  </si>
  <si>
    <t>profile.customer.location_country_dttm</t>
  </si>
  <si>
    <t>profile.customer.login_country</t>
  </si>
  <si>
    <t>profile.customer.login_dttm</t>
  </si>
  <si>
    <t>profile.customer.payment_amount</t>
  </si>
  <si>
    <t>profile.customer.transaction_status</t>
  </si>
  <si>
    <t>profile.device.customer_id</t>
  </si>
  <si>
    <t>profile.device.payment_dttm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</si>
</sst>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charset val="162"/>
      <scheme val="minor"/>
    </font>
    <font>
      <b/>
      <sz val="11"/>
      <color rgb="FFFFFFFF"/>
      <name val="Calibri"/>
      <family val="2"/>
    </font>
    <font>
      <sz val="8"/>
      <name val="Calibri"/>
      <family val="2"/>
      <scheme val="minor"/>
    </font>
    <font>
      <u/>
      <sz val="11"/>
      <color theme="10"/>
      <name val="Calibri"/>
      <family val="2"/>
      <charset val="162"/>
      <scheme val="minor"/>
    </font>
    <font>
      <b/>
      <sz val="11"/>
      <color theme="1"/>
      <name val="Calibri"/>
      <family val="2"/>
      <scheme val="minor"/>
    </font>
    <font>
      <sz val="11"/>
      <color rgb="FF000000"/>
      <name val="Calibri"/>
      <family val="2"/>
      <scheme val="minor"/>
    </font>
    <font>
      <sz val="8"/>
      <color theme="1"/>
      <name val="Calibri"/>
      <family val="2"/>
      <scheme val="minor"/>
    </font>
    <font>
      <sz val="11"/>
      <color rgb="FFFF0000"/>
      <name val="Calibri"/>
      <family val="2"/>
      <scheme val="minor"/>
    </font>
    <font>
      <sz val="11"/>
      <color rgb="FF000000"/>
      <name val="Calibri"/>
      <scheme val="minor"/>
    </font>
    <font>
      <b/>
      <sz val="10"/>
      <color theme="1"/>
      <name val="Calibri"/>
      <family val="2"/>
      <scheme val="minor"/>
    </font>
    <font>
      <sz val="10"/>
      <color theme="1"/>
      <name val="Calibri"/>
      <family val="2"/>
      <scheme val="minor"/>
    </font>
    <font>
      <sz val="11"/>
      <color rgb="FF000000"/>
      <name val="Calibri"/>
      <family val="2"/>
      <charset val="162"/>
      <scheme val="minor"/>
    </font>
    <font>
      <b/>
      <sz val="11"/>
      <color rgb="FF000000"/>
      <name val="Calibri"/>
      <family val="2"/>
      <charset val="162"/>
      <scheme val="minor"/>
    </font>
    <font>
      <sz val="11"/>
      <color rgb="FF000000"/>
      <name val="Calibri"/>
      <family val="2"/>
      <charset val="162"/>
    </font>
    <font>
      <b/>
      <sz val="11"/>
      <color rgb="FFFFFFFF"/>
      <name val="Calibri"/>
      <family val="2"/>
      <charset val="162"/>
    </font>
    <font>
      <b/>
      <sz val="11"/>
      <color rgb="FF000000"/>
      <name val="Calibri"/>
      <family val="2"/>
      <charset val="162"/>
    </font>
    <font>
      <sz val="11"/>
      <color rgb="FF000000"/>
      <name val="Aptos Narrow"/>
      <family val="2"/>
      <charset val="162"/>
    </font>
    <font>
      <sz val="11"/>
      <name val="Aptos Narrow"/>
      <family val="2"/>
      <charset val="162"/>
    </font>
    <font>
      <b/>
      <sz val="11"/>
      <color theme="1"/>
      <name val="Calibri"/>
      <family val="2"/>
      <charset val="162"/>
      <scheme val="minor"/>
    </font>
    <font>
      <sz val="11"/>
      <color rgb="FF000000"/>
      <name val="Calibri"/>
      <charset val="1"/>
    </font>
  </fonts>
  <fills count="13">
    <fill>
      <patternFill patternType="none"/>
    </fill>
    <fill>
      <patternFill patternType="gray125"/>
    </fill>
    <fill>
      <patternFill patternType="solid">
        <fgColor rgb="FF1F4E78"/>
        <bgColor rgb="FF1F4E78"/>
      </patternFill>
    </fill>
    <fill>
      <patternFill patternType="solid">
        <fgColor rgb="FFFFFFE1"/>
        <bgColor indexed="64"/>
      </patternFill>
    </fill>
    <fill>
      <patternFill patternType="solid">
        <fgColor rgb="FFFFFF00"/>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rgb="FF92D050"/>
        <bgColor indexed="64"/>
      </patternFill>
    </fill>
    <fill>
      <patternFill patternType="solid">
        <fgColor theme="0" tint="-0.34998626667073579"/>
        <bgColor indexed="64"/>
      </patternFill>
    </fill>
    <fill>
      <patternFill patternType="solid">
        <fgColor theme="6"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C000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14999847407452621"/>
      </top>
      <bottom/>
      <diagonal/>
    </border>
  </borders>
  <cellStyleXfs count="3">
    <xf numFmtId="0" fontId="0" fillId="0" borderId="0"/>
    <xf numFmtId="0" fontId="1" fillId="0" borderId="0"/>
    <xf numFmtId="0" fontId="4" fillId="0" borderId="0" applyNumberFormat="0" applyFill="0" applyBorder="0" applyAlignment="0" applyProtection="0"/>
  </cellStyleXfs>
  <cellXfs count="51">
    <xf numFmtId="0" fontId="0" fillId="0" borderId="0" xfId="0"/>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5" fillId="0" borderId="0" xfId="0" applyFont="1"/>
    <xf numFmtId="0" fontId="0" fillId="0" borderId="0" xfId="0" applyAlignment="1">
      <alignment wrapText="1"/>
    </xf>
    <xf numFmtId="0" fontId="0" fillId="3" borderId="2" xfId="0" applyFill="1" applyBorder="1" applyAlignment="1">
      <alignment vertical="center"/>
    </xf>
    <xf numFmtId="0" fontId="0" fillId="3" borderId="2" xfId="0" applyFill="1" applyBorder="1" applyAlignment="1">
      <alignment vertical="center" wrapText="1"/>
    </xf>
    <xf numFmtId="0" fontId="0" fillId="0" borderId="0" xfId="0" applyAlignment="1">
      <alignment vertical="center"/>
    </xf>
    <xf numFmtId="0" fontId="0" fillId="0" borderId="2" xfId="0" applyBorder="1" applyAlignment="1">
      <alignment vertical="center"/>
    </xf>
    <xf numFmtId="0" fontId="8" fillId="3" borderId="2" xfId="0" applyFont="1" applyFill="1" applyBorder="1" applyAlignment="1">
      <alignment vertical="center"/>
    </xf>
    <xf numFmtId="0" fontId="9" fillId="3" borderId="2" xfId="0" applyFont="1" applyFill="1" applyBorder="1" applyAlignment="1">
      <alignment vertical="center" wrapText="1"/>
    </xf>
    <xf numFmtId="0" fontId="6" fillId="3" borderId="2" xfId="0" applyFont="1" applyFill="1" applyBorder="1" applyAlignment="1">
      <alignment vertical="center" wrapText="1"/>
    </xf>
    <xf numFmtId="9" fontId="0" fillId="3" borderId="2" xfId="0" applyNumberFormat="1" applyFill="1" applyBorder="1" applyAlignment="1">
      <alignment horizontal="left" vertical="center"/>
    </xf>
    <xf numFmtId="0" fontId="2" fillId="2" borderId="3" xfId="0" applyFont="1" applyFill="1" applyBorder="1" applyAlignment="1">
      <alignment vertical="center"/>
    </xf>
    <xf numFmtId="0" fontId="9" fillId="3" borderId="2" xfId="0" applyFont="1" applyFill="1" applyBorder="1" applyAlignment="1">
      <alignment vertical="top" wrapText="1"/>
    </xf>
    <xf numFmtId="0" fontId="0" fillId="3" borderId="2" xfId="0" applyFill="1" applyBorder="1" applyAlignment="1">
      <alignment vertical="top" wrapText="1"/>
    </xf>
    <xf numFmtId="0" fontId="11" fillId="0" borderId="0" xfId="0" applyFont="1"/>
    <xf numFmtId="0" fontId="10" fillId="0" borderId="4" xfId="0" applyFont="1" applyBorder="1"/>
    <xf numFmtId="0" fontId="11" fillId="0" borderId="4" xfId="0" applyFont="1" applyBorder="1"/>
    <xf numFmtId="0" fontId="0" fillId="0" borderId="4" xfId="0" applyBorder="1" applyAlignment="1">
      <alignment vertical="center"/>
    </xf>
    <xf numFmtId="0" fontId="14" fillId="0" borderId="0" xfId="0" applyFont="1"/>
    <xf numFmtId="0" fontId="6" fillId="3" borderId="2" xfId="0" applyFont="1" applyFill="1" applyBorder="1" applyAlignment="1">
      <alignment vertical="top" wrapText="1"/>
    </xf>
    <xf numFmtId="0" fontId="15" fillId="2" borderId="3" xfId="0" applyFont="1" applyFill="1" applyBorder="1" applyAlignment="1">
      <alignment horizontal="center" vertical="center"/>
    </xf>
    <xf numFmtId="0" fontId="15" fillId="2" borderId="3" xfId="0" applyFont="1" applyFill="1" applyBorder="1" applyAlignment="1">
      <alignment horizontal="center" vertical="center" wrapText="1"/>
    </xf>
    <xf numFmtId="0" fontId="16" fillId="0" borderId="0" xfId="0" applyFont="1"/>
    <xf numFmtId="0" fontId="0" fillId="0" borderId="2" xfId="0" applyBorder="1"/>
    <xf numFmtId="0" fontId="2" fillId="2" borderId="3" xfId="0" applyFont="1" applyFill="1" applyBorder="1" applyAlignment="1">
      <alignment horizontal="center" vertical="top"/>
    </xf>
    <xf numFmtId="0" fontId="0" fillId="0" borderId="2" xfId="0" applyBorder="1" applyAlignment="1">
      <alignment vertical="top"/>
    </xf>
    <xf numFmtId="0" fontId="0" fillId="0" borderId="0" xfId="0" applyAlignment="1">
      <alignment vertical="top"/>
    </xf>
    <xf numFmtId="0" fontId="12" fillId="3" borderId="2" xfId="0" applyFont="1" applyFill="1" applyBorder="1" applyAlignment="1">
      <alignment vertical="center" wrapText="1"/>
    </xf>
    <xf numFmtId="0" fontId="17" fillId="0" borderId="2" xfId="0" applyFont="1" applyBorder="1"/>
    <xf numFmtId="0" fontId="18" fillId="0" borderId="2" xfId="0" applyFont="1" applyBorder="1"/>
    <xf numFmtId="0" fontId="0" fillId="0" borderId="2" xfId="0" applyBorder="1" applyAlignment="1">
      <alignment horizontal="center" vertical="center"/>
    </xf>
    <xf numFmtId="0" fontId="17" fillId="0" borderId="2" xfId="0" applyFont="1" applyBorder="1" applyAlignment="1">
      <alignment horizontal="center" vertical="center"/>
    </xf>
    <xf numFmtId="0" fontId="15" fillId="2" borderId="4" xfId="0" applyFont="1" applyFill="1" applyBorder="1" applyAlignment="1">
      <alignment horizontal="center" vertical="center"/>
    </xf>
    <xf numFmtId="0" fontId="19" fillId="4" borderId="0" xfId="0" applyFont="1" applyFill="1"/>
    <xf numFmtId="0" fontId="0" fillId="5" borderId="0" xfId="0" applyFill="1"/>
    <xf numFmtId="0" fontId="19" fillId="6" borderId="0" xfId="0" applyFont="1" applyFill="1"/>
    <xf numFmtId="0" fontId="19" fillId="7" borderId="0" xfId="0" applyFont="1" applyFill="1"/>
    <xf numFmtId="0" fontId="19" fillId="8" borderId="0" xfId="0" applyFont="1" applyFill="1"/>
    <xf numFmtId="0" fontId="0" fillId="0" borderId="0" xfId="0" applyAlignment="1">
      <alignment horizontal="center" vertical="center"/>
    </xf>
    <xf numFmtId="0" fontId="20" fillId="0" borderId="0" xfId="0" applyFont="1"/>
    <xf numFmtId="0" fontId="0" fillId="0" borderId="4" xfId="0" applyBorder="1" applyAlignment="1">
      <alignment horizontal="left" vertical="center"/>
    </xf>
    <xf numFmtId="0" fontId="0" fillId="0" borderId="5" xfId="0" applyBorder="1" applyAlignment="1">
      <alignment horizontal="center" vertical="center"/>
    </xf>
    <xf numFmtId="0" fontId="0" fillId="0" borderId="0" xfId="0" applyAlignment="1">
      <alignment horizontal="center" vertical="center"/>
    </xf>
    <xf numFmtId="0" fontId="15" fillId="9" borderId="3" xfId="0" applyFont="1" applyFill="1" applyBorder="1" applyAlignment="1">
      <alignment horizontal="center" vertical="center"/>
    </xf>
    <xf numFmtId="0" fontId="15" fillId="10" borderId="3" xfId="0" applyFont="1" applyFill="1" applyBorder="1" applyAlignment="1">
      <alignment horizontal="center" vertical="center"/>
    </xf>
    <xf numFmtId="0" fontId="15" fillId="11" borderId="3" xfId="0" applyFont="1" applyFill="1" applyBorder="1" applyAlignment="1">
      <alignment horizontal="center" vertical="center"/>
    </xf>
    <xf numFmtId="0" fontId="15" fillId="12" borderId="3" xfId="0" applyFont="1" applyFill="1" applyBorder="1" applyAlignment="1">
      <alignment horizontal="center" vertical="center"/>
    </xf>
    <xf numFmtId="0" fontId="15" fillId="2" borderId="3" xfId="0" applyFont="1" applyFill="1" applyBorder="1" applyAlignment="1">
      <alignment vertical="center"/>
    </xf>
    <xf numFmtId="0" fontId="0" fillId="0" borderId="0" xfId="0" applyAlignment="1"/>
  </cellXfs>
  <cellStyles count="3">
    <cellStyle name="Köprü 2" xfId="2" xr:uid="{FF97D6F9-3828-40F1-BAED-7709F8975110}"/>
    <cellStyle name="Normal" xfId="0" builtinId="0"/>
    <cellStyle name="Normal 2" xfId="1" xr:uid="{D7233FF2-0652-49C2-BA7C-A133907BF9C2}"/>
  </cellStyles>
  <dxfs count="1">
    <dxf>
      <font>
        <color rgb="FF9C0006"/>
      </font>
      <fill>
        <patternFill patternType="solid">
          <bgColor theme="5" tint="0.39997558519241921"/>
        </patternFill>
      </fill>
    </dxf>
  </dxfs>
  <tableStyles count="0" defaultTableStyle="TableStyleMedium9" defaultPivotStyle="PivotStyleLight16"/>
  <colors>
    <mruColors>
      <color rgb="FFFFFF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Uğur Altuntaş" id="{7FED39E5-357A-489A-8142-D3F0F8D9B477}" userId="S::ugur.altuntas@sadeyazilim.com::a8263ef0-5ac2-4327-a7b9-16f93cfa67c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 dT="2025-12-11T11:26:43.58" personId="{7FED39E5-357A-489A-8142-D3F0F8D9B477}" id="{ABC0AF7A-2CBE-4474-8718-7551F45605CB}">
    <text xml:space="preserve">SFD’ye gönderilen transaction’lar JSON formatındadır.
Bu JSON içindeki alanları SFD’nin iç entity’lerine map ederken:
"Bu değer JSON’un neresinde?"
"Nested bir objenin içinde mi?"
"Array’in kaçıncı elemanı?"
"Transformation’dan önce kaynağı neresi?"
gibi soruların cevabı JSON Path ile verilir.
📌 Örnek bir JSON düşünelim
{ "transaction": { "id": "TX12345", "amount": 250, "currency": "TRY", "customer": { "id": "CUST789", "name": "Ahmet" }, "device": { "id": "DEV111", "ip": "1.2.3.4" } } } 
Bu JSON’a göre Mapping sheet’inde JSON Path şu şekilde olur:
SFD AttributeJSON PathAçıklamatransaction_id$.transaction.idJSON içindeki transaction IDamount$.transaction.amountamount alanıcustomer_id$.transaction.customer.idnested customer objesinden IDdevice_ip$.transaction.device.ipnested device objesindeki ip
$ → root
. → alt alan
[0] → array index’i
</text>
  </threadedComment>
</ThreadedComments>
</file>

<file path=xl/threadedComments/threadedComment2.xml><?xml version="1.0" encoding="utf-8"?>
<ThreadedComments xmlns="http://schemas.microsoft.com/office/spreadsheetml/2018/threadedcomments" xmlns:x="http://schemas.openxmlformats.org/spreadsheetml/2006/main">
  <threadedComment ref="J1" dT="2025-12-11T11:19:53.24" personId="{7FED39E5-357A-489A-8142-D3F0F8D9B477}" id="{9EFB8911-BFE4-4F38-8D37-1CDE0C143D3C}">
    <text xml:space="preserve">1️⃣ Düşük Cardinality (ideal, hızlı PV)
pv_decline_count_24h → customer_id bazlı
Bir bankada aktif müşteri sayısı diyelim 300.000.
Sadece aktif güncelleme yapılan müşteri sayısı ~20.000.
➡️ Expected cardinality = 20.000
➡️ Çok iyi, hafif bir PV.
2️⃣ Orta Cardinality
pv_device_to_account_count_7d → device_id bazlı
Banka mobil uygulama cihaz sayısı: 2–3 milyon.
Ama 7 günde işlem yapan aktif cihaz: ~400.000.
➡️ Expected cardinality = 400.000
➡️ SFD bu yükü taşır → orta.
3️⃣ Yüksek Cardinality (riskli)
pv_ip_velocity_1h → IP bazlı
Gerçek zamanlı ödeme sisteminde IP sayısı çok değişkendir.
Saatlik 1–2 milyon unique IP bile olabilir.
➡️ Expected cardinality = 1.000.000–2.000.000
➡️ Çok yüksek → PV yavaş çalışabilir.
Bu PV için optimizasyon gerekli:
Aggregation yapısını küçültmek
PV lifetime azaltmak (1h → 10 min)
Key normalizasyonu (IPv4→/24 subnet gibi)
4️⃣ Aşırı Yüksek Cardinality (kaçınmak gerekir)
pv_transaction_id_history_30d → transaction_id bazlı
Transaction ID benzersizdir → cardinality milyonlarca olur.
➡️ Böyle PV’ler tasarlanmamalıdır.
</text>
  </threadedComment>
</ThreadedComment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30114-BA54-4AC2-9F90-D09D9ECEDCB9}">
  <sheetPr>
    <tabColor rgb="FFFFC000"/>
  </sheetPr>
  <dimension ref="A1"/>
  <sheetViews>
    <sheetView workbookViewId="0"/>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BC99F-BD74-453D-88A9-097B58CC0399}">
  <sheetPr>
    <tabColor rgb="FFFFC000"/>
  </sheetPr>
  <dimension ref="A1"/>
  <sheetViews>
    <sheetView workbookViewId="0">
      <selection activeCell="E35" sqref="E35"/>
    </sheetView>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3C803-3209-4E82-80FB-CD5B364F923A}">
  <sheetPr>
    <tabColor rgb="FF00B0F0"/>
  </sheetPr>
  <dimension ref="A1:C10"/>
  <sheetViews>
    <sheetView showGridLines="0" workbookViewId="0">
      <selection sqref="A1:C1"/>
    </sheetView>
  </sheetViews>
  <sheetFormatPr defaultRowHeight="15"/>
  <cols>
    <col min="1" max="1" width="40.5703125" customWidth="1"/>
    <col min="2" max="2" width="21" customWidth="1"/>
    <col min="3" max="3" width="23.42578125" customWidth="1"/>
  </cols>
  <sheetData>
    <row r="1" spans="1:3">
      <c r="A1" s="22" t="s">
        <v>0</v>
      </c>
      <c r="B1" s="23" t="s">
        <v>1</v>
      </c>
      <c r="C1" s="22" t="s">
        <v>2</v>
      </c>
    </row>
    <row r="2" spans="1:3">
      <c r="A2" s="42" t="s">
        <v>3</v>
      </c>
      <c r="B2" s="42" t="s">
        <v>4</v>
      </c>
      <c r="C2" s="19" t="s">
        <v>5</v>
      </c>
    </row>
    <row r="3" spans="1:3">
      <c r="A3" s="42"/>
      <c r="B3" s="42"/>
      <c r="C3" s="19" t="s">
        <v>6</v>
      </c>
    </row>
    <row r="4" spans="1:3">
      <c r="A4" s="42"/>
      <c r="B4" s="42"/>
      <c r="C4" s="19" t="s">
        <v>7</v>
      </c>
    </row>
    <row r="5" spans="1:3">
      <c r="A5" s="42"/>
      <c r="B5" s="42" t="s">
        <v>8</v>
      </c>
      <c r="C5" s="19" t="s">
        <v>5</v>
      </c>
    </row>
    <row r="6" spans="1:3">
      <c r="A6" s="42"/>
      <c r="B6" s="42"/>
      <c r="C6" s="19" t="s">
        <v>6</v>
      </c>
    </row>
    <row r="7" spans="1:3">
      <c r="A7" s="42"/>
      <c r="B7" s="42"/>
      <c r="C7" s="19" t="s">
        <v>7</v>
      </c>
    </row>
    <row r="8" spans="1:3">
      <c r="A8" s="42"/>
      <c r="B8" s="42" t="s">
        <v>9</v>
      </c>
      <c r="C8" s="19" t="s">
        <v>5</v>
      </c>
    </row>
    <row r="9" spans="1:3">
      <c r="A9" s="42"/>
      <c r="B9" s="42"/>
      <c r="C9" s="19" t="s">
        <v>6</v>
      </c>
    </row>
    <row r="10" spans="1:3">
      <c r="A10" s="42"/>
      <c r="B10" s="42"/>
      <c r="C10" s="19" t="s">
        <v>7</v>
      </c>
    </row>
  </sheetData>
  <mergeCells count="4">
    <mergeCell ref="B8:B10"/>
    <mergeCell ref="A2:A10"/>
    <mergeCell ref="B2:B4"/>
    <mergeCell ref="B5:B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FC28D-E7B1-469B-8FBA-BEADAF690563}">
  <sheetPr>
    <tabColor rgb="FF00B0F0"/>
  </sheetPr>
  <dimension ref="A1:B10"/>
  <sheetViews>
    <sheetView showGridLines="0" workbookViewId="0"/>
  </sheetViews>
  <sheetFormatPr defaultRowHeight="12.75"/>
  <cols>
    <col min="1" max="1" width="22.42578125" style="16" bestFit="1" customWidth="1"/>
    <col min="2" max="2" width="131" style="16" bestFit="1" customWidth="1"/>
    <col min="3" max="16384" width="9.140625" style="16"/>
  </cols>
  <sheetData>
    <row r="1" spans="1:2" ht="15">
      <c r="A1" s="22" t="s">
        <v>10</v>
      </c>
      <c r="B1" s="23" t="s">
        <v>11</v>
      </c>
    </row>
    <row r="2" spans="1:2">
      <c r="A2" s="17" t="s">
        <v>12</v>
      </c>
      <c r="B2" s="18" t="s">
        <v>13</v>
      </c>
    </row>
    <row r="3" spans="1:2">
      <c r="A3" s="17" t="s">
        <v>14</v>
      </c>
      <c r="B3" s="18" t="s">
        <v>15</v>
      </c>
    </row>
    <row r="4" spans="1:2">
      <c r="A4" s="17" t="s">
        <v>16</v>
      </c>
      <c r="B4" s="18" t="s">
        <v>17</v>
      </c>
    </row>
    <row r="5" spans="1:2">
      <c r="A5" s="17" t="s">
        <v>18</v>
      </c>
      <c r="B5" s="18" t="s">
        <v>19</v>
      </c>
    </row>
    <row r="6" spans="1:2">
      <c r="A6" s="17" t="s">
        <v>20</v>
      </c>
      <c r="B6" s="18" t="s">
        <v>21</v>
      </c>
    </row>
    <row r="7" spans="1:2">
      <c r="A7" s="17" t="s">
        <v>22</v>
      </c>
      <c r="B7" s="18" t="s">
        <v>23</v>
      </c>
    </row>
    <row r="8" spans="1:2">
      <c r="A8" s="17" t="s">
        <v>24</v>
      </c>
      <c r="B8" s="18" t="s">
        <v>25</v>
      </c>
    </row>
    <row r="9" spans="1:2">
      <c r="A9" s="17" t="s">
        <v>26</v>
      </c>
      <c r="B9" s="18" t="s">
        <v>27</v>
      </c>
    </row>
    <row r="10" spans="1:2">
      <c r="A10" s="17" t="s">
        <v>28</v>
      </c>
      <c r="B10" s="18" t="s">
        <v>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00B0F0"/>
  </sheetPr>
  <dimension ref="A1:Q151"/>
  <sheetViews>
    <sheetView topLeftCell="F13" zoomScale="76" workbookViewId="0">
      <selection activeCell="K19" sqref="K19"/>
    </sheetView>
  </sheetViews>
  <sheetFormatPr defaultColWidth="0" defaultRowHeight="15" customHeight="1" zeroHeight="1"/>
  <cols>
    <col min="1" max="1" width="12.140625" bestFit="1" customWidth="1"/>
    <col min="2" max="2" width="29.42578125" bestFit="1" customWidth="1"/>
    <col min="3" max="3" width="78.140625" bestFit="1" customWidth="1"/>
    <col min="4" max="4" width="54.140625" style="4" hidden="1" customWidth="1"/>
    <col min="5" max="5" width="21.85546875" bestFit="1" customWidth="1"/>
    <col min="6" max="6" width="29.85546875" customWidth="1"/>
    <col min="7" max="7" width="43" style="7" customWidth="1"/>
    <col min="8" max="8" width="54.42578125" style="28" customWidth="1"/>
    <col min="9" max="9" width="27" customWidth="1"/>
    <col min="10" max="10" width="41" bestFit="1" customWidth="1"/>
    <col min="11" max="11" width="48.85546875" customWidth="1"/>
    <col min="12" max="12" width="26" customWidth="1"/>
    <col min="13" max="13" width="23" hidden="1" customWidth="1"/>
    <col min="14" max="14" width="56.42578125" hidden="1" customWidth="1"/>
    <col min="15" max="15" width="49.140625" hidden="1" customWidth="1"/>
    <col min="16" max="16" width="9.140625" customWidth="1"/>
  </cols>
  <sheetData>
    <row r="1" spans="1:16">
      <c r="A1" s="2" t="s">
        <v>30</v>
      </c>
      <c r="B1" s="2" t="s">
        <v>31</v>
      </c>
      <c r="C1" s="2" t="s">
        <v>32</v>
      </c>
      <c r="D1" s="2" t="s">
        <v>33</v>
      </c>
      <c r="E1" s="2" t="s">
        <v>34</v>
      </c>
      <c r="F1" s="2" t="s">
        <v>35</v>
      </c>
      <c r="G1" s="13" t="s">
        <v>36</v>
      </c>
      <c r="H1" s="26" t="s">
        <v>37</v>
      </c>
      <c r="I1" s="2" t="s">
        <v>38</v>
      </c>
      <c r="J1" s="2" t="s">
        <v>39</v>
      </c>
      <c r="K1" s="2" t="s">
        <v>40</v>
      </c>
      <c r="L1" s="2" t="s">
        <v>41</v>
      </c>
      <c r="M1" s="2" t="s">
        <v>42</v>
      </c>
      <c r="N1" s="2" t="s">
        <v>43</v>
      </c>
      <c r="O1" s="2" t="s">
        <v>44</v>
      </c>
    </row>
    <row r="2" spans="1:16" ht="225" hidden="1">
      <c r="A2" s="5" t="s">
        <v>45</v>
      </c>
      <c r="B2" s="5" t="s">
        <v>46</v>
      </c>
      <c r="C2" s="5" t="s">
        <v>47</v>
      </c>
      <c r="D2" s="6" t="s">
        <v>48</v>
      </c>
      <c r="E2" s="5" t="s">
        <v>49</v>
      </c>
      <c r="F2" s="6" t="s">
        <v>50</v>
      </c>
      <c r="G2" s="6" t="s">
        <v>51</v>
      </c>
      <c r="H2" s="14" t="s">
        <v>52</v>
      </c>
      <c r="I2" s="5" t="s">
        <v>53</v>
      </c>
      <c r="J2" s="10" t="s">
        <v>54</v>
      </c>
      <c r="K2" s="9" t="s">
        <v>55</v>
      </c>
      <c r="L2" s="5" t="s">
        <v>56</v>
      </c>
      <c r="M2" s="5" t="s">
        <v>5</v>
      </c>
      <c r="N2" s="6" t="s">
        <v>57</v>
      </c>
      <c r="O2" s="6" t="s">
        <v>58</v>
      </c>
      <c r="P2" s="7"/>
    </row>
    <row r="3" spans="1:16" ht="409.6">
      <c r="A3" s="5" t="s">
        <v>59</v>
      </c>
      <c r="B3" s="5" t="s">
        <v>60</v>
      </c>
      <c r="C3" s="5" t="s">
        <v>61</v>
      </c>
      <c r="D3" s="6" t="s">
        <v>62</v>
      </c>
      <c r="E3" s="5" t="s">
        <v>49</v>
      </c>
      <c r="F3" s="6" t="s">
        <v>63</v>
      </c>
      <c r="G3" s="6" t="s">
        <v>64</v>
      </c>
      <c r="H3" s="14" t="s">
        <v>65</v>
      </c>
      <c r="I3" s="5" t="s">
        <v>66</v>
      </c>
      <c r="J3" s="10" t="s">
        <v>67</v>
      </c>
      <c r="K3" s="11" t="s">
        <v>68</v>
      </c>
      <c r="L3" s="5" t="s">
        <v>55</v>
      </c>
      <c r="M3" s="5" t="s">
        <v>5</v>
      </c>
      <c r="N3" s="6" t="s">
        <v>69</v>
      </c>
      <c r="O3" s="6" t="s">
        <v>70</v>
      </c>
      <c r="P3" s="7"/>
    </row>
    <row r="4" spans="1:16" ht="375">
      <c r="A4" s="5" t="s">
        <v>71</v>
      </c>
      <c r="B4" s="5" t="s">
        <v>72</v>
      </c>
      <c r="C4" s="5" t="s">
        <v>73</v>
      </c>
      <c r="D4" s="6" t="s">
        <v>74</v>
      </c>
      <c r="E4" s="5" t="s">
        <v>49</v>
      </c>
      <c r="F4" s="6" t="s">
        <v>75</v>
      </c>
      <c r="G4" s="6" t="s">
        <v>76</v>
      </c>
      <c r="H4" s="14" t="s">
        <v>77</v>
      </c>
      <c r="I4" s="5" t="s">
        <v>78</v>
      </c>
      <c r="J4" s="10" t="s">
        <v>79</v>
      </c>
      <c r="K4" s="10" t="s">
        <v>80</v>
      </c>
      <c r="L4" s="5" t="s">
        <v>55</v>
      </c>
      <c r="M4" s="5" t="s">
        <v>6</v>
      </c>
      <c r="N4" s="6" t="s">
        <v>81</v>
      </c>
      <c r="O4" s="6" t="s">
        <v>82</v>
      </c>
      <c r="P4" s="7"/>
    </row>
    <row r="5" spans="1:16" ht="259.5">
      <c r="A5" s="5" t="s">
        <v>83</v>
      </c>
      <c r="B5" s="5" t="s">
        <v>84</v>
      </c>
      <c r="C5" s="5" t="s">
        <v>85</v>
      </c>
      <c r="D5" s="6" t="s">
        <v>86</v>
      </c>
      <c r="E5" s="5" t="s">
        <v>49</v>
      </c>
      <c r="F5" s="6" t="s">
        <v>87</v>
      </c>
      <c r="G5" s="6" t="s">
        <v>88</v>
      </c>
      <c r="H5" s="21" t="s">
        <v>89</v>
      </c>
      <c r="I5" s="12">
        <v>0.8</v>
      </c>
      <c r="J5" s="10" t="s">
        <v>90</v>
      </c>
      <c r="K5" s="11" t="s">
        <v>91</v>
      </c>
      <c r="L5" s="5" t="s">
        <v>55</v>
      </c>
      <c r="M5" s="5" t="s">
        <v>5</v>
      </c>
      <c r="N5" s="6" t="s">
        <v>92</v>
      </c>
      <c r="O5" s="6" t="s">
        <v>93</v>
      </c>
      <c r="P5" s="7"/>
    </row>
    <row r="6" spans="1:16" ht="225">
      <c r="A6" s="5" t="s">
        <v>94</v>
      </c>
      <c r="B6" s="5" t="s">
        <v>95</v>
      </c>
      <c r="C6" s="5" t="s">
        <v>96</v>
      </c>
      <c r="D6" s="6" t="s">
        <v>97</v>
      </c>
      <c r="E6" s="5" t="s">
        <v>49</v>
      </c>
      <c r="F6" s="6" t="s">
        <v>98</v>
      </c>
      <c r="G6" s="6" t="s">
        <v>99</v>
      </c>
      <c r="H6" s="21" t="s">
        <v>100</v>
      </c>
      <c r="I6" s="5"/>
      <c r="J6" s="10" t="s">
        <v>101</v>
      </c>
      <c r="K6" s="11" t="s">
        <v>91</v>
      </c>
      <c r="L6" s="5" t="s">
        <v>55</v>
      </c>
      <c r="M6" s="5" t="s">
        <v>6</v>
      </c>
      <c r="N6" s="6" t="s">
        <v>102</v>
      </c>
      <c r="O6" s="6" t="s">
        <v>103</v>
      </c>
      <c r="P6" s="7"/>
    </row>
    <row r="7" spans="1:16" ht="409.6">
      <c r="A7" s="5" t="s">
        <v>104</v>
      </c>
      <c r="B7" s="5" t="s">
        <v>105</v>
      </c>
      <c r="C7" s="5" t="s">
        <v>106</v>
      </c>
      <c r="D7" s="6" t="s">
        <v>107</v>
      </c>
      <c r="E7" s="5" t="s">
        <v>49</v>
      </c>
      <c r="F7" s="6" t="s">
        <v>108</v>
      </c>
      <c r="G7" s="6" t="s">
        <v>109</v>
      </c>
      <c r="H7" s="14" t="s">
        <v>110</v>
      </c>
      <c r="I7" s="5" t="s">
        <v>111</v>
      </c>
      <c r="J7" s="6" t="s">
        <v>112</v>
      </c>
      <c r="K7" s="6" t="s">
        <v>113</v>
      </c>
      <c r="L7" s="5" t="s">
        <v>55</v>
      </c>
      <c r="M7" s="5" t="s">
        <v>5</v>
      </c>
      <c r="N7" s="6" t="s">
        <v>114</v>
      </c>
      <c r="O7" s="6" t="s">
        <v>115</v>
      </c>
      <c r="P7" s="7"/>
    </row>
    <row r="8" spans="1:16" ht="409.6">
      <c r="A8" s="5" t="s">
        <v>116</v>
      </c>
      <c r="B8" s="5" t="s">
        <v>117</v>
      </c>
      <c r="C8" s="5" t="s">
        <v>118</v>
      </c>
      <c r="D8" s="6" t="s">
        <v>119</v>
      </c>
      <c r="E8" s="5" t="s">
        <v>120</v>
      </c>
      <c r="F8" s="6" t="s">
        <v>121</v>
      </c>
      <c r="G8" s="6" t="s">
        <v>122</v>
      </c>
      <c r="H8" s="15" t="s">
        <v>123</v>
      </c>
      <c r="I8" s="5" t="s">
        <v>124</v>
      </c>
      <c r="J8" s="6" t="s">
        <v>125</v>
      </c>
      <c r="K8" s="6" t="s">
        <v>126</v>
      </c>
      <c r="L8" s="5" t="s">
        <v>55</v>
      </c>
      <c r="M8" s="5" t="s">
        <v>5</v>
      </c>
      <c r="N8" s="6" t="s">
        <v>127</v>
      </c>
      <c r="O8" s="6" t="s">
        <v>128</v>
      </c>
      <c r="P8" s="7"/>
    </row>
    <row r="9" spans="1:16" ht="255">
      <c r="A9" s="5" t="s">
        <v>129</v>
      </c>
      <c r="B9" s="5" t="s">
        <v>130</v>
      </c>
      <c r="C9" s="5" t="s">
        <v>131</v>
      </c>
      <c r="D9" s="6" t="s">
        <v>132</v>
      </c>
      <c r="E9" s="5" t="s">
        <v>49</v>
      </c>
      <c r="F9" s="6" t="s">
        <v>133</v>
      </c>
      <c r="G9" s="6" t="s">
        <v>134</v>
      </c>
      <c r="H9" s="15" t="s">
        <v>135</v>
      </c>
      <c r="I9" s="5" t="s">
        <v>136</v>
      </c>
      <c r="J9" s="6" t="s">
        <v>137</v>
      </c>
      <c r="K9" s="5" t="s">
        <v>138</v>
      </c>
      <c r="L9" s="5" t="s">
        <v>55</v>
      </c>
      <c r="M9" s="5" t="s">
        <v>5</v>
      </c>
      <c r="N9" s="6" t="s">
        <v>139</v>
      </c>
      <c r="O9" s="6" t="s">
        <v>140</v>
      </c>
      <c r="P9" s="7"/>
    </row>
    <row r="10" spans="1:16" ht="244.5">
      <c r="A10" s="5" t="s">
        <v>141</v>
      </c>
      <c r="B10" s="5" t="s">
        <v>142</v>
      </c>
      <c r="C10" s="5" t="s">
        <v>143</v>
      </c>
      <c r="D10" s="6" t="s">
        <v>144</v>
      </c>
      <c r="E10" s="5" t="s">
        <v>49</v>
      </c>
      <c r="F10" s="6" t="s">
        <v>145</v>
      </c>
      <c r="G10" s="6" t="s">
        <v>146</v>
      </c>
      <c r="H10" s="15" t="s">
        <v>147</v>
      </c>
      <c r="I10" s="5" t="s">
        <v>148</v>
      </c>
      <c r="J10" s="6" t="s">
        <v>149</v>
      </c>
      <c r="K10" s="6" t="s">
        <v>91</v>
      </c>
      <c r="L10" s="5" t="s">
        <v>55</v>
      </c>
      <c r="M10" s="5" t="s">
        <v>5</v>
      </c>
      <c r="N10" s="6" t="s">
        <v>150</v>
      </c>
      <c r="O10" s="6" t="s">
        <v>151</v>
      </c>
      <c r="P10" s="7"/>
    </row>
    <row r="11" spans="1:16" ht="381.75">
      <c r="A11" s="5" t="s">
        <v>152</v>
      </c>
      <c r="B11" s="6" t="s">
        <v>153</v>
      </c>
      <c r="C11" s="5" t="s">
        <v>154</v>
      </c>
      <c r="D11" s="6" t="s">
        <v>155</v>
      </c>
      <c r="E11" s="5" t="s">
        <v>49</v>
      </c>
      <c r="F11" s="6" t="s">
        <v>156</v>
      </c>
      <c r="G11" s="6" t="s">
        <v>157</v>
      </c>
      <c r="H11" s="15" t="s">
        <v>158</v>
      </c>
      <c r="I11" s="5" t="s">
        <v>78</v>
      </c>
      <c r="J11" s="10" t="s">
        <v>159</v>
      </c>
      <c r="K11" s="10" t="s">
        <v>160</v>
      </c>
      <c r="L11" s="5" t="s">
        <v>55</v>
      </c>
      <c r="M11" s="5" t="s">
        <v>6</v>
      </c>
      <c r="N11" s="6" t="s">
        <v>161</v>
      </c>
      <c r="O11" s="6" t="s">
        <v>162</v>
      </c>
      <c r="P11" s="7"/>
    </row>
    <row r="12" spans="1:16" ht="409.6">
      <c r="A12" s="5" t="s">
        <v>163</v>
      </c>
      <c r="B12" s="5" t="s">
        <v>164</v>
      </c>
      <c r="C12" s="5" t="s">
        <v>165</v>
      </c>
      <c r="D12" s="6" t="s">
        <v>166</v>
      </c>
      <c r="E12" s="5" t="s">
        <v>49</v>
      </c>
      <c r="F12" s="6" t="s">
        <v>167</v>
      </c>
      <c r="G12" s="6" t="s">
        <v>168</v>
      </c>
      <c r="H12" s="14" t="s">
        <v>169</v>
      </c>
      <c r="I12" s="5" t="s">
        <v>148</v>
      </c>
      <c r="J12" s="6" t="s">
        <v>170</v>
      </c>
      <c r="K12" s="6" t="s">
        <v>171</v>
      </c>
      <c r="L12" s="5" t="s">
        <v>55</v>
      </c>
      <c r="M12" s="5" t="s">
        <v>5</v>
      </c>
      <c r="N12" s="6" t="s">
        <v>172</v>
      </c>
      <c r="O12" s="6" t="s">
        <v>173</v>
      </c>
      <c r="P12" s="7"/>
    </row>
    <row r="13" spans="1:16" ht="381.75">
      <c r="A13" s="5" t="s">
        <v>174</v>
      </c>
      <c r="B13" s="5" t="s">
        <v>175</v>
      </c>
      <c r="C13" s="5" t="s">
        <v>176</v>
      </c>
      <c r="D13" s="6" t="s">
        <v>177</v>
      </c>
      <c r="E13" s="5" t="s">
        <v>49</v>
      </c>
      <c r="F13" s="6" t="s">
        <v>178</v>
      </c>
      <c r="G13" s="6" t="s">
        <v>179</v>
      </c>
      <c r="H13" s="15" t="s">
        <v>180</v>
      </c>
      <c r="I13" s="5" t="s">
        <v>181</v>
      </c>
      <c r="J13" s="10" t="s">
        <v>182</v>
      </c>
      <c r="K13" s="29" t="s">
        <v>183</v>
      </c>
      <c r="L13" s="5" t="s">
        <v>55</v>
      </c>
      <c r="M13" s="5" t="s">
        <v>5</v>
      </c>
      <c r="N13" s="6" t="s">
        <v>184</v>
      </c>
      <c r="O13" s="6" t="s">
        <v>185</v>
      </c>
      <c r="P13" s="7"/>
    </row>
    <row r="14" spans="1:16" ht="240" hidden="1">
      <c r="A14" s="5" t="s">
        <v>186</v>
      </c>
      <c r="B14" s="5" t="s">
        <v>187</v>
      </c>
      <c r="C14" s="5" t="s">
        <v>188</v>
      </c>
      <c r="D14" s="6" t="s">
        <v>189</v>
      </c>
      <c r="E14" s="5" t="s">
        <v>49</v>
      </c>
      <c r="F14" s="6" t="s">
        <v>190</v>
      </c>
      <c r="G14" s="6" t="s">
        <v>191</v>
      </c>
      <c r="H14" s="15" t="s">
        <v>192</v>
      </c>
      <c r="I14" s="6" t="s">
        <v>193</v>
      </c>
      <c r="J14" s="10" t="s">
        <v>194</v>
      </c>
      <c r="K14" s="9"/>
      <c r="L14" s="5" t="s">
        <v>55</v>
      </c>
      <c r="M14" s="5" t="s">
        <v>6</v>
      </c>
      <c r="N14" s="6" t="s">
        <v>195</v>
      </c>
      <c r="O14" s="6" t="s">
        <v>196</v>
      </c>
      <c r="P14" s="7"/>
    </row>
    <row r="15" spans="1:16" ht="409.6">
      <c r="A15" s="5" t="s">
        <v>197</v>
      </c>
      <c r="B15" s="5" t="s">
        <v>198</v>
      </c>
      <c r="C15" s="5" t="s">
        <v>199</v>
      </c>
      <c r="D15" s="6" t="s">
        <v>200</v>
      </c>
      <c r="E15" s="5" t="s">
        <v>49</v>
      </c>
      <c r="F15" s="6" t="s">
        <v>201</v>
      </c>
      <c r="G15" s="6" t="s">
        <v>202</v>
      </c>
      <c r="H15" s="15" t="s">
        <v>203</v>
      </c>
      <c r="I15" s="5" t="s">
        <v>204</v>
      </c>
      <c r="J15" s="10" t="s">
        <v>194</v>
      </c>
      <c r="K15" s="10" t="s">
        <v>205</v>
      </c>
      <c r="L15" s="5" t="s">
        <v>55</v>
      </c>
      <c r="M15" s="5" t="s">
        <v>6</v>
      </c>
      <c r="N15" s="6" t="s">
        <v>206</v>
      </c>
      <c r="O15" s="6" t="s">
        <v>207</v>
      </c>
      <c r="P15" s="7"/>
    </row>
    <row r="16" spans="1:16" ht="255" hidden="1">
      <c r="A16" s="5" t="s">
        <v>208</v>
      </c>
      <c r="B16" s="5" t="s">
        <v>209</v>
      </c>
      <c r="C16" s="5" t="s">
        <v>210</v>
      </c>
      <c r="D16" s="6" t="s">
        <v>211</v>
      </c>
      <c r="E16" s="5" t="s">
        <v>212</v>
      </c>
      <c r="F16" s="6" t="s">
        <v>213</v>
      </c>
      <c r="G16" s="6" t="s">
        <v>214</v>
      </c>
      <c r="H16" s="15" t="s">
        <v>215</v>
      </c>
      <c r="I16" s="5" t="s">
        <v>216</v>
      </c>
      <c r="J16" s="11" t="s">
        <v>217</v>
      </c>
      <c r="K16" s="9" t="s">
        <v>55</v>
      </c>
      <c r="L16" s="5" t="s">
        <v>218</v>
      </c>
      <c r="M16" s="5" t="s">
        <v>5</v>
      </c>
      <c r="N16" s="6" t="s">
        <v>219</v>
      </c>
      <c r="O16" s="6" t="s">
        <v>220</v>
      </c>
      <c r="P16" s="7"/>
    </row>
    <row r="17" spans="1:17" ht="244.5">
      <c r="A17" s="5" t="s">
        <v>221</v>
      </c>
      <c r="B17" s="5" t="s">
        <v>222</v>
      </c>
      <c r="C17" s="5" t="s">
        <v>223</v>
      </c>
      <c r="D17" s="6" t="s">
        <v>224</v>
      </c>
      <c r="E17" s="5" t="s">
        <v>212</v>
      </c>
      <c r="F17" s="6" t="s">
        <v>225</v>
      </c>
      <c r="G17" s="6" t="s">
        <v>226</v>
      </c>
      <c r="H17" s="15" t="s">
        <v>227</v>
      </c>
      <c r="I17" s="5" t="s">
        <v>78</v>
      </c>
      <c r="J17" s="11" t="s">
        <v>79</v>
      </c>
      <c r="K17" s="11" t="s">
        <v>228</v>
      </c>
      <c r="L17" s="5" t="s">
        <v>229</v>
      </c>
      <c r="M17" s="5" t="s">
        <v>5</v>
      </c>
      <c r="N17" s="6" t="s">
        <v>230</v>
      </c>
      <c r="O17" s="6" t="s">
        <v>231</v>
      </c>
      <c r="P17" s="7"/>
    </row>
    <row r="18" spans="1:17" ht="270" hidden="1">
      <c r="A18" s="5" t="s">
        <v>232</v>
      </c>
      <c r="B18" s="5" t="s">
        <v>233</v>
      </c>
      <c r="C18" s="5" t="s">
        <v>234</v>
      </c>
      <c r="D18" s="6" t="s">
        <v>235</v>
      </c>
      <c r="E18" s="5" t="s">
        <v>120</v>
      </c>
      <c r="F18" s="6" t="s">
        <v>236</v>
      </c>
      <c r="G18" s="6" t="s">
        <v>237</v>
      </c>
      <c r="H18" s="15" t="s">
        <v>238</v>
      </c>
      <c r="I18" s="5" t="s">
        <v>53</v>
      </c>
      <c r="J18" s="11" t="s">
        <v>239</v>
      </c>
      <c r="K18" s="9" t="s">
        <v>55</v>
      </c>
      <c r="L18" s="5" t="s">
        <v>240</v>
      </c>
      <c r="M18" s="5" t="s">
        <v>5</v>
      </c>
      <c r="N18" s="6" t="s">
        <v>241</v>
      </c>
      <c r="O18" s="6" t="s">
        <v>242</v>
      </c>
      <c r="P18" s="7"/>
    </row>
    <row r="19" spans="1:17" ht="409.6">
      <c r="A19" s="5" t="s">
        <v>243</v>
      </c>
      <c r="B19" s="5" t="s">
        <v>244</v>
      </c>
      <c r="C19" s="5" t="s">
        <v>245</v>
      </c>
      <c r="D19" s="6" t="s">
        <v>246</v>
      </c>
      <c r="E19" s="5" t="s">
        <v>49</v>
      </c>
      <c r="F19" s="6" t="s">
        <v>247</v>
      </c>
      <c r="G19" s="6" t="s">
        <v>248</v>
      </c>
      <c r="H19" s="21" t="s">
        <v>249</v>
      </c>
      <c r="I19" s="5" t="s">
        <v>250</v>
      </c>
      <c r="J19" s="6" t="s">
        <v>251</v>
      </c>
      <c r="K19" s="11" t="s">
        <v>252</v>
      </c>
      <c r="L19" s="5" t="s">
        <v>218</v>
      </c>
      <c r="M19" s="5" t="s">
        <v>5</v>
      </c>
      <c r="N19" s="6" t="s">
        <v>253</v>
      </c>
      <c r="O19" s="6" t="s">
        <v>254</v>
      </c>
      <c r="P19" s="7"/>
    </row>
    <row r="20" spans="1:17" ht="270" hidden="1">
      <c r="A20" s="5" t="s">
        <v>255</v>
      </c>
      <c r="B20" s="5" t="s">
        <v>256</v>
      </c>
      <c r="C20" s="5" t="s">
        <v>257</v>
      </c>
      <c r="D20" s="6" t="s">
        <v>258</v>
      </c>
      <c r="E20" s="5" t="s">
        <v>49</v>
      </c>
      <c r="F20" s="6" t="s">
        <v>259</v>
      </c>
      <c r="G20" s="6" t="s">
        <v>260</v>
      </c>
      <c r="H20" s="21" t="s">
        <v>261</v>
      </c>
      <c r="I20" s="5" t="s">
        <v>53</v>
      </c>
      <c r="J20" s="11" t="s">
        <v>262</v>
      </c>
      <c r="K20" s="9" t="s">
        <v>55</v>
      </c>
      <c r="L20" s="6" t="s">
        <v>263</v>
      </c>
      <c r="M20" s="5" t="s">
        <v>264</v>
      </c>
      <c r="N20" s="6" t="s">
        <v>265</v>
      </c>
      <c r="O20" s="6" t="s">
        <v>266</v>
      </c>
      <c r="P20" s="7"/>
    </row>
    <row r="21" spans="1:17" hidden="1">
      <c r="A21" s="8" t="s">
        <v>267</v>
      </c>
      <c r="B21" s="8"/>
      <c r="C21" s="8"/>
      <c r="D21" s="8"/>
      <c r="E21" s="8"/>
      <c r="F21" s="8"/>
      <c r="G21" s="8"/>
      <c r="H21" s="27"/>
      <c r="I21" s="8"/>
      <c r="J21" s="8"/>
      <c r="K21" s="8"/>
      <c r="L21" s="8"/>
      <c r="M21" s="8"/>
      <c r="N21" s="8"/>
      <c r="O21" s="8"/>
      <c r="P21" s="8"/>
      <c r="Q21" s="8"/>
    </row>
    <row r="22" spans="1:17" hidden="1">
      <c r="A22" s="8" t="s">
        <v>268</v>
      </c>
      <c r="B22" s="8"/>
      <c r="C22" s="8"/>
      <c r="D22" s="8"/>
      <c r="E22" s="8"/>
      <c r="F22" s="8"/>
      <c r="G22" s="8"/>
      <c r="H22" s="27"/>
      <c r="I22" s="8"/>
      <c r="J22" s="8"/>
      <c r="K22" s="8"/>
      <c r="L22" s="8"/>
      <c r="M22" s="8"/>
      <c r="N22" s="8"/>
      <c r="O22" s="8"/>
      <c r="P22" s="8"/>
      <c r="Q22" s="8"/>
    </row>
    <row r="23" spans="1:17" hidden="1">
      <c r="A23" s="8" t="s">
        <v>269</v>
      </c>
      <c r="B23" s="8"/>
      <c r="C23" s="8"/>
      <c r="D23" s="8"/>
      <c r="E23" s="8"/>
      <c r="F23" s="8"/>
      <c r="G23" s="8"/>
      <c r="H23" s="27"/>
      <c r="I23" s="8"/>
      <c r="J23" s="8"/>
      <c r="K23" s="8"/>
      <c r="L23" s="8"/>
      <c r="M23" s="8"/>
      <c r="N23" s="8"/>
      <c r="O23" s="8"/>
      <c r="P23" s="8"/>
      <c r="Q23" s="8"/>
    </row>
    <row r="24" spans="1:17" hidden="1">
      <c r="A24" s="8" t="s">
        <v>270</v>
      </c>
      <c r="B24" s="8"/>
      <c r="C24" s="8"/>
      <c r="D24" s="8"/>
      <c r="E24" s="8"/>
      <c r="F24" s="8"/>
      <c r="G24" s="8"/>
      <c r="H24" s="27"/>
      <c r="I24" s="8"/>
      <c r="J24" s="8"/>
      <c r="K24" s="8"/>
      <c r="L24" s="8"/>
      <c r="M24" s="8"/>
      <c r="N24" s="8"/>
      <c r="O24" s="8"/>
      <c r="P24" s="8"/>
      <c r="Q24" s="8"/>
    </row>
    <row r="25" spans="1:17" hidden="1">
      <c r="A25" s="8" t="s">
        <v>271</v>
      </c>
      <c r="B25" s="8"/>
      <c r="C25" s="8"/>
      <c r="D25" s="8"/>
      <c r="E25" s="8"/>
      <c r="F25" s="8"/>
      <c r="G25" s="8"/>
      <c r="H25" s="27"/>
      <c r="I25" s="8"/>
      <c r="J25" s="8"/>
      <c r="K25" s="8"/>
      <c r="L25" s="8"/>
      <c r="M25" s="8"/>
      <c r="N25" s="8"/>
      <c r="O25" s="8"/>
      <c r="P25" s="8"/>
      <c r="Q25" s="8"/>
    </row>
    <row r="26" spans="1:17" hidden="1">
      <c r="A26" s="8" t="s">
        <v>272</v>
      </c>
      <c r="B26" s="8"/>
      <c r="C26" s="8"/>
      <c r="D26" s="8"/>
      <c r="E26" s="8"/>
      <c r="F26" s="8"/>
      <c r="G26" s="8"/>
      <c r="H26" s="27"/>
      <c r="I26" s="8"/>
      <c r="J26" s="8"/>
      <c r="K26" s="8"/>
      <c r="L26" s="8"/>
      <c r="M26" s="8"/>
      <c r="N26" s="8"/>
      <c r="O26" s="8"/>
      <c r="P26" s="8"/>
      <c r="Q26" s="8"/>
    </row>
    <row r="27" spans="1:17" hidden="1">
      <c r="A27" s="8" t="s">
        <v>273</v>
      </c>
      <c r="B27" s="8"/>
      <c r="C27" s="8"/>
      <c r="D27" s="8"/>
      <c r="E27" s="8"/>
      <c r="F27" s="8"/>
      <c r="G27" s="8"/>
      <c r="H27" s="27"/>
      <c r="I27" s="8"/>
      <c r="J27" s="8"/>
      <c r="K27" s="8"/>
      <c r="L27" s="8"/>
      <c r="M27" s="8"/>
      <c r="N27" s="8"/>
      <c r="O27" s="8"/>
      <c r="P27" s="8"/>
      <c r="Q27" s="8"/>
    </row>
    <row r="28" spans="1:17" hidden="1">
      <c r="A28" s="8" t="s">
        <v>274</v>
      </c>
      <c r="B28" s="8"/>
      <c r="C28" s="8"/>
      <c r="D28" s="8"/>
      <c r="E28" s="8"/>
      <c r="F28" s="8"/>
      <c r="G28" s="8"/>
      <c r="H28" s="27"/>
      <c r="I28" s="8"/>
      <c r="J28" s="8"/>
      <c r="K28" s="8"/>
      <c r="L28" s="8"/>
      <c r="M28" s="8"/>
      <c r="N28" s="8"/>
      <c r="O28" s="8"/>
      <c r="P28" s="8"/>
      <c r="Q28" s="8"/>
    </row>
    <row r="29" spans="1:17" hidden="1">
      <c r="A29" s="8" t="s">
        <v>275</v>
      </c>
      <c r="B29" s="8"/>
      <c r="C29" s="8"/>
      <c r="D29" s="8"/>
      <c r="E29" s="8"/>
      <c r="F29" s="8"/>
      <c r="G29" s="8"/>
      <c r="H29" s="27"/>
      <c r="I29" s="8"/>
      <c r="J29" s="8"/>
      <c r="K29" s="8"/>
      <c r="L29" s="8"/>
      <c r="M29" s="8"/>
      <c r="N29" s="8"/>
      <c r="O29" s="8"/>
      <c r="P29" s="8"/>
      <c r="Q29" s="8"/>
    </row>
    <row r="30" spans="1:17" hidden="1">
      <c r="A30" s="8" t="s">
        <v>276</v>
      </c>
      <c r="B30" s="8"/>
      <c r="C30" s="8"/>
      <c r="D30" s="8"/>
      <c r="E30" s="8"/>
      <c r="F30" s="8"/>
      <c r="G30" s="8"/>
      <c r="H30" s="27"/>
      <c r="I30" s="8"/>
      <c r="J30" s="8"/>
      <c r="K30" s="8"/>
      <c r="L30" s="8"/>
      <c r="M30" s="8"/>
      <c r="N30" s="8"/>
      <c r="O30" s="8"/>
      <c r="P30" s="8"/>
      <c r="Q30" s="8"/>
    </row>
    <row r="31" spans="1:17" hidden="1">
      <c r="A31" s="8" t="s">
        <v>277</v>
      </c>
      <c r="B31" s="8"/>
      <c r="C31" s="8"/>
      <c r="D31" s="8"/>
      <c r="E31" s="8"/>
      <c r="F31" s="8"/>
      <c r="G31" s="8"/>
      <c r="H31" s="27"/>
      <c r="I31" s="8"/>
      <c r="J31" s="8"/>
      <c r="K31" s="8"/>
      <c r="L31" s="8"/>
      <c r="M31" s="8"/>
      <c r="N31" s="8"/>
      <c r="O31" s="8"/>
      <c r="P31" s="8"/>
      <c r="Q31" s="8"/>
    </row>
    <row r="32" spans="1:17" hidden="1">
      <c r="A32" s="8" t="s">
        <v>278</v>
      </c>
      <c r="B32" s="8"/>
      <c r="C32" s="8"/>
      <c r="D32" s="8"/>
      <c r="E32" s="8"/>
      <c r="F32" s="8"/>
      <c r="G32" s="8"/>
      <c r="H32" s="27"/>
      <c r="I32" s="8"/>
      <c r="J32" s="8"/>
      <c r="K32" s="8"/>
      <c r="L32" s="8"/>
      <c r="M32" s="8"/>
      <c r="N32" s="8"/>
      <c r="O32" s="8"/>
      <c r="P32" s="8"/>
      <c r="Q32" s="8"/>
    </row>
    <row r="33" spans="1:17" hidden="1">
      <c r="A33" s="8" t="s">
        <v>279</v>
      </c>
      <c r="B33" s="8"/>
      <c r="C33" s="8"/>
      <c r="D33" s="8"/>
      <c r="E33" s="8"/>
      <c r="F33" s="8"/>
      <c r="G33" s="8"/>
      <c r="H33" s="27"/>
      <c r="I33" s="8"/>
      <c r="J33" s="8"/>
      <c r="K33" s="8"/>
      <c r="L33" s="8"/>
      <c r="M33" s="8"/>
      <c r="N33" s="8"/>
      <c r="O33" s="8"/>
      <c r="P33" s="8"/>
      <c r="Q33" s="8"/>
    </row>
    <row r="34" spans="1:17" hidden="1">
      <c r="A34" s="8" t="s">
        <v>280</v>
      </c>
      <c r="B34" s="8"/>
      <c r="C34" s="8"/>
      <c r="D34" s="8"/>
      <c r="E34" s="8"/>
      <c r="F34" s="8"/>
      <c r="G34" s="8"/>
      <c r="H34" s="27"/>
      <c r="I34" s="8"/>
      <c r="J34" s="8"/>
      <c r="K34" s="8"/>
      <c r="L34" s="8"/>
      <c r="M34" s="8"/>
      <c r="N34" s="8"/>
      <c r="O34" s="8"/>
      <c r="P34" s="8"/>
      <c r="Q34" s="8"/>
    </row>
    <row r="35" spans="1:17" hidden="1">
      <c r="A35" s="8" t="s">
        <v>281</v>
      </c>
      <c r="B35" s="8"/>
      <c r="C35" s="8"/>
      <c r="D35" s="8"/>
      <c r="E35" s="8"/>
      <c r="F35" s="8"/>
      <c r="G35" s="8"/>
      <c r="H35" s="27"/>
      <c r="I35" s="8"/>
      <c r="J35" s="8"/>
      <c r="K35" s="8"/>
      <c r="L35" s="8"/>
      <c r="M35" s="8"/>
      <c r="N35" s="8"/>
      <c r="O35" s="8"/>
      <c r="P35" s="8"/>
      <c r="Q35" s="8"/>
    </row>
    <row r="36" spans="1:17" hidden="1">
      <c r="A36" s="8" t="s">
        <v>282</v>
      </c>
      <c r="B36" s="8"/>
      <c r="C36" s="8"/>
      <c r="D36" s="8"/>
      <c r="E36" s="8"/>
      <c r="F36" s="8"/>
      <c r="G36" s="8"/>
      <c r="H36" s="27"/>
      <c r="I36" s="8"/>
      <c r="J36" s="8"/>
      <c r="K36" s="8"/>
      <c r="L36" s="8"/>
      <c r="M36" s="8"/>
      <c r="N36" s="8"/>
      <c r="O36" s="8"/>
      <c r="P36" s="8"/>
      <c r="Q36" s="8"/>
    </row>
    <row r="37" spans="1:17" hidden="1">
      <c r="A37" s="8" t="s">
        <v>283</v>
      </c>
      <c r="B37" s="8"/>
      <c r="C37" s="8"/>
      <c r="D37" s="8"/>
      <c r="E37" s="8"/>
      <c r="F37" s="8"/>
      <c r="G37" s="8"/>
      <c r="H37" s="27"/>
      <c r="I37" s="8"/>
      <c r="J37" s="8"/>
      <c r="K37" s="8"/>
      <c r="L37" s="8"/>
      <c r="M37" s="8"/>
      <c r="N37" s="8"/>
      <c r="O37" s="8"/>
      <c r="P37" s="8"/>
      <c r="Q37" s="8"/>
    </row>
    <row r="38" spans="1:17" hidden="1">
      <c r="A38" s="8" t="s">
        <v>284</v>
      </c>
      <c r="B38" s="8"/>
      <c r="C38" s="8"/>
      <c r="D38" s="8"/>
      <c r="E38" s="8"/>
      <c r="F38" s="8"/>
      <c r="G38" s="8"/>
      <c r="H38" s="27"/>
      <c r="I38" s="8"/>
      <c r="J38" s="8"/>
      <c r="K38" s="8"/>
      <c r="L38" s="8"/>
      <c r="M38" s="8"/>
      <c r="N38" s="8"/>
      <c r="O38" s="8"/>
      <c r="P38" s="8"/>
      <c r="Q38" s="8"/>
    </row>
    <row r="39" spans="1:17" hidden="1">
      <c r="A39" s="8" t="s">
        <v>285</v>
      </c>
      <c r="B39" s="8"/>
      <c r="C39" s="8"/>
      <c r="D39" s="8"/>
      <c r="E39" s="8"/>
      <c r="F39" s="8"/>
      <c r="G39" s="8"/>
      <c r="H39" s="27"/>
      <c r="I39" s="8"/>
      <c r="J39" s="8"/>
      <c r="K39" s="8"/>
      <c r="L39" s="8"/>
      <c r="M39" s="8"/>
      <c r="N39" s="8"/>
      <c r="O39" s="8"/>
      <c r="P39" s="8"/>
      <c r="Q39" s="8"/>
    </row>
    <row r="40" spans="1:17" hidden="1">
      <c r="A40" s="8" t="s">
        <v>286</v>
      </c>
      <c r="B40" s="8"/>
      <c r="C40" s="8"/>
      <c r="D40" s="8"/>
      <c r="E40" s="8"/>
      <c r="F40" s="8"/>
      <c r="G40" s="8"/>
      <c r="H40" s="27"/>
      <c r="I40" s="8"/>
      <c r="J40" s="8"/>
      <c r="K40" s="8"/>
      <c r="L40" s="8"/>
      <c r="M40" s="8"/>
      <c r="N40" s="8"/>
      <c r="O40" s="8"/>
      <c r="P40" s="8"/>
      <c r="Q40" s="8"/>
    </row>
    <row r="41" spans="1:17" hidden="1">
      <c r="A41" s="8" t="s">
        <v>287</v>
      </c>
      <c r="B41" s="8"/>
      <c r="C41" s="8"/>
      <c r="D41" s="8"/>
      <c r="E41" s="8"/>
      <c r="F41" s="8"/>
      <c r="G41" s="8"/>
      <c r="H41" s="27"/>
      <c r="I41" s="8"/>
      <c r="J41" s="8"/>
      <c r="K41" s="8"/>
      <c r="L41" s="8"/>
      <c r="M41" s="8"/>
      <c r="N41" s="8"/>
      <c r="O41" s="8"/>
      <c r="P41" s="8"/>
      <c r="Q41" s="8"/>
    </row>
    <row r="42" spans="1:17" hidden="1">
      <c r="A42" s="8" t="s">
        <v>288</v>
      </c>
      <c r="B42" s="8"/>
      <c r="C42" s="8"/>
      <c r="D42" s="8"/>
      <c r="E42" s="8"/>
      <c r="F42" s="8"/>
      <c r="G42" s="8"/>
      <c r="H42" s="27"/>
      <c r="I42" s="8"/>
      <c r="J42" s="8"/>
      <c r="K42" s="8"/>
      <c r="L42" s="8"/>
      <c r="M42" s="8"/>
      <c r="N42" s="8"/>
      <c r="O42" s="8"/>
      <c r="P42" s="8"/>
      <c r="Q42" s="8"/>
    </row>
    <row r="43" spans="1:17" hidden="1">
      <c r="A43" s="8" t="s">
        <v>289</v>
      </c>
      <c r="B43" s="8"/>
      <c r="C43" s="8"/>
      <c r="D43" s="8"/>
      <c r="E43" s="8"/>
      <c r="F43" s="8"/>
      <c r="G43" s="8"/>
      <c r="H43" s="27"/>
      <c r="I43" s="8"/>
      <c r="J43" s="8"/>
      <c r="K43" s="8"/>
      <c r="L43" s="8"/>
      <c r="M43" s="8"/>
      <c r="N43" s="8"/>
      <c r="O43" s="8"/>
      <c r="P43" s="8"/>
      <c r="Q43" s="8"/>
    </row>
    <row r="44" spans="1:17" hidden="1">
      <c r="A44" s="8" t="s">
        <v>290</v>
      </c>
      <c r="B44" s="8"/>
      <c r="C44" s="8"/>
      <c r="D44" s="8"/>
      <c r="E44" s="8"/>
      <c r="F44" s="8"/>
      <c r="G44" s="8"/>
      <c r="H44" s="27"/>
      <c r="I44" s="8"/>
      <c r="J44" s="8"/>
      <c r="K44" s="8"/>
      <c r="L44" s="8"/>
      <c r="M44" s="8"/>
      <c r="N44" s="8"/>
      <c r="O44" s="8"/>
      <c r="P44" s="8"/>
      <c r="Q44" s="8"/>
    </row>
    <row r="45" spans="1:17" hidden="1">
      <c r="A45" s="8" t="s">
        <v>291</v>
      </c>
      <c r="B45" s="8"/>
      <c r="C45" s="8"/>
      <c r="D45" s="8"/>
      <c r="E45" s="8"/>
      <c r="F45" s="8"/>
      <c r="G45" s="8"/>
      <c r="H45" s="27"/>
      <c r="I45" s="8"/>
      <c r="J45" s="8"/>
      <c r="K45" s="8"/>
      <c r="L45" s="8"/>
      <c r="M45" s="8"/>
      <c r="N45" s="8"/>
      <c r="O45" s="8"/>
      <c r="P45" s="8"/>
      <c r="Q45" s="8"/>
    </row>
    <row r="46" spans="1:17" hidden="1">
      <c r="A46" s="8" t="s">
        <v>292</v>
      </c>
      <c r="B46" s="8"/>
      <c r="C46" s="8"/>
      <c r="D46" s="8"/>
      <c r="E46" s="8"/>
      <c r="F46" s="8"/>
      <c r="G46" s="8"/>
      <c r="H46" s="27"/>
      <c r="I46" s="8"/>
      <c r="J46" s="8"/>
      <c r="K46" s="8"/>
      <c r="L46" s="8"/>
      <c r="M46" s="8"/>
      <c r="N46" s="8"/>
      <c r="O46" s="8"/>
      <c r="P46" s="8"/>
      <c r="Q46" s="8"/>
    </row>
    <row r="47" spans="1:17" hidden="1">
      <c r="A47" s="8" t="s">
        <v>293</v>
      </c>
      <c r="B47" s="8"/>
      <c r="C47" s="8"/>
      <c r="D47" s="8"/>
      <c r="E47" s="8"/>
      <c r="F47" s="8"/>
      <c r="G47" s="8"/>
      <c r="H47" s="27"/>
      <c r="I47" s="8"/>
      <c r="J47" s="8"/>
      <c r="K47" s="8"/>
      <c r="L47" s="8"/>
      <c r="M47" s="8"/>
      <c r="N47" s="8"/>
      <c r="O47" s="8"/>
      <c r="P47" s="8"/>
      <c r="Q47" s="8"/>
    </row>
    <row r="48" spans="1:17" hidden="1">
      <c r="A48" s="8" t="s">
        <v>294</v>
      </c>
      <c r="B48" s="8"/>
      <c r="C48" s="8"/>
      <c r="D48" s="8"/>
      <c r="E48" s="8"/>
      <c r="F48" s="8"/>
      <c r="G48" s="8"/>
      <c r="H48" s="27"/>
      <c r="I48" s="8"/>
      <c r="J48" s="8"/>
      <c r="K48" s="8"/>
      <c r="L48" s="8"/>
      <c r="M48" s="8"/>
      <c r="N48" s="8"/>
      <c r="O48" s="8"/>
      <c r="P48" s="8"/>
      <c r="Q48" s="8"/>
    </row>
    <row r="49" spans="1:17" hidden="1">
      <c r="A49" s="8" t="s">
        <v>295</v>
      </c>
      <c r="B49" s="8"/>
      <c r="C49" s="8"/>
      <c r="D49" s="8"/>
      <c r="E49" s="8"/>
      <c r="F49" s="8"/>
      <c r="G49" s="8"/>
      <c r="H49" s="27"/>
      <c r="I49" s="8"/>
      <c r="J49" s="8"/>
      <c r="K49" s="8"/>
      <c r="L49" s="8"/>
      <c r="M49" s="8"/>
      <c r="N49" s="8"/>
      <c r="O49" s="8"/>
      <c r="P49" s="8"/>
      <c r="Q49" s="8"/>
    </row>
    <row r="50" spans="1:17" hidden="1">
      <c r="A50" s="8" t="s">
        <v>296</v>
      </c>
      <c r="B50" s="8"/>
      <c r="C50" s="8"/>
      <c r="D50" s="8"/>
      <c r="E50" s="8"/>
      <c r="F50" s="8"/>
      <c r="G50" s="8"/>
      <c r="H50" s="27"/>
      <c r="I50" s="8"/>
      <c r="J50" s="8"/>
      <c r="K50" s="8"/>
      <c r="L50" s="8"/>
      <c r="M50" s="8"/>
      <c r="N50" s="8"/>
      <c r="O50" s="8"/>
      <c r="P50" s="8"/>
      <c r="Q50" s="8"/>
    </row>
    <row r="51" spans="1:17" hidden="1">
      <c r="A51" s="8" t="s">
        <v>297</v>
      </c>
      <c r="B51" s="8"/>
      <c r="C51" s="8"/>
      <c r="D51" s="8"/>
      <c r="E51" s="8"/>
      <c r="F51" s="8"/>
      <c r="G51" s="8"/>
      <c r="H51" s="27"/>
      <c r="I51" s="8"/>
      <c r="J51" s="8"/>
      <c r="K51" s="8"/>
      <c r="L51" s="8"/>
      <c r="M51" s="8"/>
      <c r="N51" s="8"/>
      <c r="O51" s="8"/>
      <c r="P51" s="8"/>
      <c r="Q51" s="8"/>
    </row>
    <row r="52" spans="1:17" hidden="1">
      <c r="A52" s="8" t="s">
        <v>298</v>
      </c>
      <c r="B52" s="8"/>
      <c r="C52" s="8"/>
      <c r="D52" s="8"/>
      <c r="E52" s="8"/>
      <c r="F52" s="8"/>
      <c r="G52" s="8"/>
      <c r="H52" s="27"/>
      <c r="I52" s="8"/>
      <c r="J52" s="8"/>
      <c r="K52" s="8"/>
      <c r="L52" s="8"/>
      <c r="M52" s="8"/>
      <c r="N52" s="8"/>
      <c r="O52" s="8"/>
      <c r="P52" s="8"/>
      <c r="Q52" s="8"/>
    </row>
    <row r="53" spans="1:17" hidden="1">
      <c r="A53" s="8" t="s">
        <v>299</v>
      </c>
      <c r="B53" s="8"/>
      <c r="C53" s="8"/>
      <c r="D53" s="8"/>
      <c r="E53" s="8"/>
      <c r="F53" s="8"/>
      <c r="G53" s="8"/>
      <c r="H53" s="27"/>
      <c r="I53" s="8"/>
      <c r="J53" s="8"/>
      <c r="K53" s="8"/>
      <c r="L53" s="8"/>
      <c r="M53" s="8"/>
      <c r="N53" s="8"/>
      <c r="O53" s="8"/>
      <c r="P53" s="8"/>
      <c r="Q53" s="8"/>
    </row>
    <row r="54" spans="1:17" hidden="1">
      <c r="A54" s="8" t="s">
        <v>300</v>
      </c>
      <c r="B54" s="8"/>
      <c r="C54" s="8"/>
      <c r="D54" s="8"/>
      <c r="E54" s="8"/>
      <c r="F54" s="8"/>
      <c r="G54" s="8"/>
      <c r="H54" s="27"/>
      <c r="I54" s="8"/>
      <c r="J54" s="8"/>
      <c r="K54" s="8"/>
      <c r="L54" s="8"/>
      <c r="M54" s="8"/>
      <c r="N54" s="8"/>
      <c r="O54" s="8"/>
      <c r="P54" s="8"/>
      <c r="Q54" s="8"/>
    </row>
    <row r="55" spans="1:17" hidden="1">
      <c r="A55" s="8" t="s">
        <v>301</v>
      </c>
      <c r="B55" s="8"/>
      <c r="C55" s="8"/>
      <c r="D55" s="8"/>
      <c r="E55" s="8"/>
      <c r="F55" s="8"/>
      <c r="G55" s="8"/>
      <c r="H55" s="27"/>
      <c r="I55" s="8"/>
      <c r="J55" s="8"/>
      <c r="K55" s="8"/>
      <c r="L55" s="8"/>
      <c r="M55" s="8"/>
      <c r="N55" s="8"/>
      <c r="O55" s="8"/>
      <c r="P55" s="8"/>
      <c r="Q55" s="8"/>
    </row>
    <row r="56" spans="1:17" hidden="1">
      <c r="A56" s="8" t="s">
        <v>302</v>
      </c>
      <c r="B56" s="8"/>
      <c r="C56" s="8"/>
      <c r="D56" s="8"/>
      <c r="E56" s="8"/>
      <c r="F56" s="8"/>
      <c r="G56" s="8"/>
      <c r="H56" s="27"/>
      <c r="I56" s="8"/>
      <c r="J56" s="8"/>
      <c r="K56" s="8"/>
      <c r="L56" s="8"/>
      <c r="M56" s="8"/>
      <c r="N56" s="8"/>
      <c r="O56" s="8"/>
      <c r="P56" s="8"/>
      <c r="Q56" s="8"/>
    </row>
    <row r="57" spans="1:17" hidden="1">
      <c r="A57" s="8" t="s">
        <v>303</v>
      </c>
      <c r="B57" s="8"/>
      <c r="C57" s="8"/>
      <c r="D57" s="8"/>
      <c r="E57" s="8"/>
      <c r="F57" s="8"/>
      <c r="G57" s="8"/>
      <c r="H57" s="27"/>
      <c r="I57" s="8"/>
      <c r="J57" s="8"/>
      <c r="K57" s="8"/>
      <c r="L57" s="8"/>
      <c r="M57" s="8"/>
      <c r="N57" s="8"/>
      <c r="O57" s="8"/>
      <c r="P57" s="8"/>
      <c r="Q57" s="8"/>
    </row>
    <row r="58" spans="1:17" hidden="1">
      <c r="A58" s="8" t="s">
        <v>304</v>
      </c>
      <c r="B58" s="8"/>
      <c r="C58" s="8"/>
      <c r="D58" s="8"/>
      <c r="E58" s="8"/>
      <c r="F58" s="8"/>
      <c r="G58" s="8"/>
      <c r="H58" s="27"/>
      <c r="I58" s="8"/>
      <c r="J58" s="8"/>
      <c r="K58" s="8"/>
      <c r="L58" s="8"/>
      <c r="M58" s="8"/>
      <c r="N58" s="8"/>
      <c r="O58" s="8"/>
      <c r="P58" s="8"/>
      <c r="Q58" s="8"/>
    </row>
    <row r="59" spans="1:17" hidden="1">
      <c r="A59" s="8" t="s">
        <v>305</v>
      </c>
      <c r="B59" s="8"/>
      <c r="C59" s="8"/>
      <c r="D59" s="8"/>
      <c r="E59" s="8"/>
      <c r="F59" s="8"/>
      <c r="G59" s="8"/>
      <c r="H59" s="27"/>
      <c r="I59" s="8"/>
      <c r="J59" s="8"/>
      <c r="K59" s="8"/>
      <c r="L59" s="8"/>
      <c r="M59" s="8"/>
      <c r="N59" s="8"/>
      <c r="O59" s="8"/>
      <c r="P59" s="8"/>
      <c r="Q59" s="8"/>
    </row>
    <row r="60" spans="1:17" hidden="1">
      <c r="A60" s="8" t="s">
        <v>306</v>
      </c>
      <c r="B60" s="8"/>
      <c r="C60" s="8"/>
      <c r="D60" s="8"/>
      <c r="E60" s="8"/>
      <c r="F60" s="8"/>
      <c r="G60" s="8"/>
      <c r="H60" s="27"/>
      <c r="I60" s="8"/>
      <c r="J60" s="8"/>
      <c r="K60" s="8"/>
      <c r="L60" s="8"/>
      <c r="M60" s="8"/>
      <c r="N60" s="8"/>
      <c r="O60" s="8"/>
      <c r="P60" s="8"/>
      <c r="Q60" s="8"/>
    </row>
    <row r="61" spans="1:17" hidden="1">
      <c r="A61" s="8" t="s">
        <v>307</v>
      </c>
      <c r="B61" s="8"/>
      <c r="C61" s="8"/>
      <c r="D61" s="8"/>
      <c r="E61" s="8"/>
      <c r="F61" s="8"/>
      <c r="G61" s="8"/>
      <c r="H61" s="27"/>
      <c r="I61" s="8"/>
      <c r="J61" s="8"/>
      <c r="K61" s="8"/>
      <c r="L61" s="8"/>
      <c r="M61" s="8"/>
      <c r="N61" s="8"/>
      <c r="O61" s="8"/>
      <c r="P61" s="8"/>
      <c r="Q61" s="8"/>
    </row>
    <row r="62" spans="1:17" hidden="1">
      <c r="A62" s="8" t="s">
        <v>308</v>
      </c>
      <c r="B62" s="8"/>
      <c r="C62" s="8"/>
      <c r="D62" s="8"/>
      <c r="E62" s="8"/>
      <c r="F62" s="8"/>
      <c r="G62" s="8"/>
      <c r="H62" s="27"/>
      <c r="I62" s="8"/>
      <c r="J62" s="8"/>
      <c r="K62" s="8"/>
      <c r="L62" s="8"/>
      <c r="M62" s="8"/>
      <c r="N62" s="8"/>
      <c r="O62" s="8"/>
      <c r="P62" s="8"/>
      <c r="Q62" s="8"/>
    </row>
    <row r="63" spans="1:17" hidden="1">
      <c r="A63" s="8" t="s">
        <v>309</v>
      </c>
      <c r="B63" s="8"/>
      <c r="C63" s="8"/>
      <c r="D63" s="8"/>
      <c r="E63" s="8"/>
      <c r="F63" s="8"/>
      <c r="G63" s="8"/>
      <c r="H63" s="27"/>
      <c r="I63" s="8"/>
      <c r="J63" s="8"/>
      <c r="K63" s="8"/>
      <c r="L63" s="8"/>
      <c r="M63" s="8"/>
      <c r="N63" s="8"/>
      <c r="O63" s="8"/>
      <c r="P63" s="8"/>
      <c r="Q63" s="8"/>
    </row>
    <row r="64" spans="1:17" hidden="1">
      <c r="A64" s="8" t="s">
        <v>310</v>
      </c>
      <c r="B64" s="8"/>
      <c r="C64" s="8"/>
      <c r="D64" s="8"/>
      <c r="E64" s="8"/>
      <c r="F64" s="8"/>
      <c r="G64" s="8"/>
      <c r="H64" s="27"/>
      <c r="I64" s="8"/>
      <c r="J64" s="8"/>
      <c r="K64" s="8"/>
      <c r="L64" s="8"/>
      <c r="M64" s="8"/>
      <c r="N64" s="8"/>
      <c r="O64" s="8"/>
      <c r="P64" s="8"/>
      <c r="Q64" s="8"/>
    </row>
    <row r="65" spans="1:17" hidden="1">
      <c r="A65" s="8" t="s">
        <v>311</v>
      </c>
      <c r="B65" s="8"/>
      <c r="C65" s="8"/>
      <c r="D65" s="8"/>
      <c r="E65" s="8"/>
      <c r="F65" s="8"/>
      <c r="G65" s="8"/>
      <c r="H65" s="27"/>
      <c r="I65" s="8"/>
      <c r="J65" s="8"/>
      <c r="K65" s="8"/>
      <c r="L65" s="8"/>
      <c r="M65" s="8"/>
      <c r="N65" s="8"/>
      <c r="O65" s="8"/>
      <c r="P65" s="8"/>
      <c r="Q65" s="8"/>
    </row>
    <row r="66" spans="1:17" hidden="1">
      <c r="A66" s="8" t="s">
        <v>312</v>
      </c>
      <c r="B66" s="8"/>
      <c r="C66" s="8"/>
      <c r="D66" s="8"/>
      <c r="E66" s="8"/>
      <c r="F66" s="8"/>
      <c r="G66" s="8"/>
      <c r="H66" s="27"/>
      <c r="I66" s="8"/>
      <c r="J66" s="8"/>
      <c r="K66" s="8"/>
      <c r="L66" s="8"/>
      <c r="M66" s="8"/>
      <c r="N66" s="8"/>
      <c r="O66" s="8"/>
      <c r="P66" s="8"/>
      <c r="Q66" s="8"/>
    </row>
    <row r="67" spans="1:17" hidden="1">
      <c r="A67" s="8" t="s">
        <v>313</v>
      </c>
      <c r="B67" s="8"/>
      <c r="C67" s="8"/>
      <c r="D67" s="8"/>
      <c r="E67" s="8"/>
      <c r="F67" s="8"/>
      <c r="G67" s="8"/>
      <c r="H67" s="27"/>
      <c r="I67" s="8"/>
      <c r="J67" s="8"/>
      <c r="K67" s="8"/>
      <c r="L67" s="8"/>
      <c r="M67" s="8"/>
      <c r="N67" s="8"/>
      <c r="O67" s="8"/>
      <c r="P67" s="8"/>
      <c r="Q67" s="8"/>
    </row>
    <row r="68" spans="1:17" hidden="1">
      <c r="A68" s="8" t="s">
        <v>314</v>
      </c>
      <c r="B68" s="8"/>
      <c r="C68" s="8"/>
      <c r="D68" s="8"/>
      <c r="E68" s="8"/>
      <c r="F68" s="8"/>
      <c r="G68" s="8"/>
      <c r="H68" s="27"/>
      <c r="I68" s="8"/>
      <c r="J68" s="8"/>
      <c r="K68" s="8"/>
      <c r="L68" s="8"/>
      <c r="M68" s="8"/>
      <c r="N68" s="8"/>
      <c r="O68" s="8"/>
      <c r="P68" s="8"/>
      <c r="Q68" s="8"/>
    </row>
    <row r="69" spans="1:17" hidden="1">
      <c r="A69" s="8" t="s">
        <v>315</v>
      </c>
      <c r="B69" s="8"/>
      <c r="C69" s="8"/>
      <c r="D69" s="8"/>
      <c r="E69" s="8"/>
      <c r="F69" s="8"/>
      <c r="G69" s="8"/>
      <c r="H69" s="27"/>
      <c r="I69" s="8"/>
      <c r="J69" s="8"/>
      <c r="K69" s="8"/>
      <c r="L69" s="8"/>
      <c r="M69" s="8"/>
      <c r="N69" s="8"/>
      <c r="O69" s="8"/>
      <c r="P69" s="8"/>
      <c r="Q69" s="8"/>
    </row>
    <row r="70" spans="1:17" hidden="1">
      <c r="A70" s="8" t="s">
        <v>316</v>
      </c>
      <c r="B70" s="8"/>
      <c r="C70" s="8"/>
      <c r="D70" s="8"/>
      <c r="E70" s="8"/>
      <c r="F70" s="8"/>
      <c r="G70" s="8"/>
      <c r="H70" s="27"/>
      <c r="I70" s="8"/>
      <c r="J70" s="8"/>
      <c r="K70" s="8"/>
      <c r="L70" s="8"/>
      <c r="M70" s="8"/>
      <c r="N70" s="8"/>
      <c r="O70" s="8"/>
      <c r="P70" s="8"/>
      <c r="Q70" s="8"/>
    </row>
    <row r="71" spans="1:17" hidden="1">
      <c r="A71" s="8" t="s">
        <v>317</v>
      </c>
      <c r="B71" s="8"/>
      <c r="C71" s="8"/>
      <c r="D71" s="8"/>
      <c r="E71" s="8"/>
      <c r="F71" s="8"/>
      <c r="G71" s="8"/>
      <c r="H71" s="27"/>
      <c r="I71" s="8"/>
      <c r="J71" s="8"/>
      <c r="K71" s="8"/>
      <c r="L71" s="8"/>
      <c r="M71" s="8"/>
      <c r="N71" s="8"/>
      <c r="O71" s="8"/>
      <c r="P71" s="8"/>
      <c r="Q71" s="8"/>
    </row>
    <row r="72" spans="1:17" hidden="1">
      <c r="A72" s="8" t="s">
        <v>318</v>
      </c>
      <c r="B72" s="8"/>
      <c r="C72" s="8"/>
      <c r="D72" s="8"/>
      <c r="E72" s="8"/>
      <c r="F72" s="8"/>
      <c r="G72" s="8"/>
      <c r="H72" s="27"/>
      <c r="I72" s="8"/>
      <c r="J72" s="8"/>
      <c r="K72" s="8"/>
      <c r="L72" s="8"/>
      <c r="M72" s="8"/>
      <c r="N72" s="8"/>
      <c r="O72" s="8"/>
      <c r="P72" s="8"/>
      <c r="Q72" s="8"/>
    </row>
    <row r="73" spans="1:17" hidden="1">
      <c r="A73" s="8" t="s">
        <v>319</v>
      </c>
      <c r="B73" s="8"/>
      <c r="C73" s="8"/>
      <c r="D73" s="8"/>
      <c r="E73" s="8"/>
      <c r="F73" s="8"/>
      <c r="G73" s="8"/>
      <c r="H73" s="27"/>
      <c r="I73" s="8"/>
      <c r="J73" s="8"/>
      <c r="K73" s="8"/>
      <c r="L73" s="8"/>
      <c r="M73" s="8"/>
      <c r="N73" s="8"/>
      <c r="O73" s="8"/>
      <c r="P73" s="8"/>
      <c r="Q73" s="8"/>
    </row>
    <row r="74" spans="1:17" hidden="1">
      <c r="A74" s="8" t="s">
        <v>320</v>
      </c>
      <c r="B74" s="8"/>
      <c r="C74" s="8"/>
      <c r="D74" s="8"/>
      <c r="E74" s="8"/>
      <c r="F74" s="8"/>
      <c r="G74" s="8"/>
      <c r="H74" s="27"/>
      <c r="I74" s="8"/>
      <c r="J74" s="8"/>
      <c r="K74" s="8"/>
      <c r="L74" s="8"/>
      <c r="M74" s="8"/>
      <c r="N74" s="8"/>
      <c r="O74" s="8"/>
      <c r="P74" s="8"/>
      <c r="Q74" s="8"/>
    </row>
    <row r="75" spans="1:17" hidden="1">
      <c r="A75" s="8" t="s">
        <v>321</v>
      </c>
      <c r="B75" s="8"/>
      <c r="C75" s="8"/>
      <c r="D75" s="8"/>
      <c r="E75" s="8"/>
      <c r="F75" s="8"/>
      <c r="G75" s="8"/>
      <c r="H75" s="27"/>
      <c r="I75" s="8"/>
      <c r="J75" s="8"/>
      <c r="K75" s="8"/>
      <c r="L75" s="8"/>
      <c r="M75" s="8"/>
      <c r="N75" s="8"/>
      <c r="O75" s="8"/>
      <c r="P75" s="8"/>
      <c r="Q75" s="8"/>
    </row>
    <row r="76" spans="1:17" hidden="1">
      <c r="A76" s="8" t="s">
        <v>322</v>
      </c>
      <c r="B76" s="8"/>
      <c r="C76" s="8"/>
      <c r="D76" s="8"/>
      <c r="E76" s="8"/>
      <c r="F76" s="8"/>
      <c r="G76" s="8"/>
      <c r="H76" s="27"/>
      <c r="I76" s="8"/>
      <c r="J76" s="8"/>
      <c r="K76" s="8"/>
      <c r="L76" s="8"/>
      <c r="M76" s="8"/>
      <c r="N76" s="8"/>
      <c r="O76" s="8"/>
      <c r="P76" s="8"/>
      <c r="Q76" s="8"/>
    </row>
    <row r="77" spans="1:17" hidden="1">
      <c r="A77" s="8" t="s">
        <v>323</v>
      </c>
      <c r="B77" s="8"/>
      <c r="C77" s="8"/>
      <c r="D77" s="8"/>
      <c r="E77" s="8"/>
      <c r="F77" s="8"/>
      <c r="G77" s="8"/>
      <c r="H77" s="27"/>
      <c r="I77" s="8"/>
      <c r="J77" s="8"/>
      <c r="K77" s="8"/>
      <c r="L77" s="8"/>
      <c r="M77" s="8"/>
      <c r="N77" s="8"/>
      <c r="O77" s="8"/>
      <c r="P77" s="8"/>
      <c r="Q77" s="8"/>
    </row>
    <row r="78" spans="1:17" hidden="1">
      <c r="A78" s="8" t="s">
        <v>324</v>
      </c>
      <c r="B78" s="8"/>
      <c r="C78" s="8"/>
      <c r="D78" s="8"/>
      <c r="E78" s="8"/>
      <c r="F78" s="8"/>
      <c r="G78" s="8"/>
      <c r="H78" s="27"/>
      <c r="I78" s="8"/>
      <c r="J78" s="8"/>
      <c r="K78" s="8"/>
      <c r="L78" s="8"/>
      <c r="M78" s="8"/>
      <c r="N78" s="8"/>
      <c r="O78" s="8"/>
      <c r="P78" s="8"/>
      <c r="Q78" s="8"/>
    </row>
    <row r="79" spans="1:17" hidden="1">
      <c r="A79" s="8" t="s">
        <v>325</v>
      </c>
      <c r="B79" s="8"/>
      <c r="C79" s="8"/>
      <c r="D79" s="8"/>
      <c r="E79" s="8"/>
      <c r="F79" s="8"/>
      <c r="G79" s="8"/>
      <c r="H79" s="27"/>
      <c r="I79" s="8"/>
      <c r="J79" s="8"/>
      <c r="K79" s="8"/>
      <c r="L79" s="8"/>
      <c r="M79" s="8"/>
      <c r="N79" s="8"/>
      <c r="O79" s="8"/>
      <c r="P79" s="8"/>
      <c r="Q79" s="8"/>
    </row>
    <row r="80" spans="1:17" hidden="1">
      <c r="A80" s="8" t="s">
        <v>326</v>
      </c>
      <c r="B80" s="8"/>
      <c r="C80" s="8"/>
      <c r="D80" s="8"/>
      <c r="E80" s="8"/>
      <c r="F80" s="8"/>
      <c r="G80" s="8"/>
      <c r="H80" s="27"/>
      <c r="I80" s="8"/>
      <c r="J80" s="8"/>
      <c r="K80" s="8"/>
      <c r="L80" s="8"/>
      <c r="M80" s="8"/>
      <c r="N80" s="8"/>
      <c r="O80" s="8"/>
      <c r="P80" s="8"/>
      <c r="Q80" s="8"/>
    </row>
    <row r="81" spans="1:17" hidden="1">
      <c r="A81" s="8" t="s">
        <v>327</v>
      </c>
      <c r="B81" s="8"/>
      <c r="C81" s="8"/>
      <c r="D81" s="8"/>
      <c r="E81" s="8"/>
      <c r="F81" s="8"/>
      <c r="G81" s="8"/>
      <c r="H81" s="27"/>
      <c r="I81" s="8"/>
      <c r="J81" s="8"/>
      <c r="K81" s="8"/>
      <c r="L81" s="8"/>
      <c r="M81" s="8"/>
      <c r="N81" s="8"/>
      <c r="O81" s="8"/>
      <c r="P81" s="8"/>
      <c r="Q81" s="8"/>
    </row>
    <row r="82" spans="1:17" hidden="1">
      <c r="A82" s="8" t="s">
        <v>328</v>
      </c>
      <c r="B82" s="8"/>
      <c r="C82" s="8"/>
      <c r="D82" s="8"/>
      <c r="E82" s="8"/>
      <c r="F82" s="8"/>
      <c r="G82" s="8"/>
      <c r="H82" s="27"/>
      <c r="I82" s="8"/>
      <c r="J82" s="8"/>
      <c r="K82" s="8"/>
      <c r="L82" s="8"/>
      <c r="M82" s="8"/>
      <c r="N82" s="8"/>
      <c r="O82" s="8"/>
      <c r="P82" s="8"/>
      <c r="Q82" s="8"/>
    </row>
    <row r="83" spans="1:17" hidden="1">
      <c r="A83" s="8" t="s">
        <v>329</v>
      </c>
      <c r="B83" s="8"/>
      <c r="C83" s="8"/>
      <c r="D83" s="8"/>
      <c r="E83" s="8"/>
      <c r="F83" s="8"/>
      <c r="G83" s="8"/>
      <c r="H83" s="27"/>
      <c r="I83" s="8"/>
      <c r="J83" s="8"/>
      <c r="K83" s="8"/>
      <c r="L83" s="8"/>
      <c r="M83" s="8"/>
      <c r="N83" s="8"/>
      <c r="O83" s="8"/>
      <c r="P83" s="8"/>
      <c r="Q83" s="8"/>
    </row>
    <row r="84" spans="1:17" hidden="1">
      <c r="A84" s="8" t="s">
        <v>330</v>
      </c>
      <c r="B84" s="8"/>
      <c r="C84" s="8"/>
      <c r="D84" s="8"/>
      <c r="E84" s="8"/>
      <c r="F84" s="8"/>
      <c r="G84" s="8"/>
      <c r="H84" s="27"/>
      <c r="I84" s="8"/>
      <c r="J84" s="8"/>
      <c r="K84" s="8"/>
      <c r="L84" s="8"/>
      <c r="M84" s="8"/>
      <c r="N84" s="8"/>
      <c r="O84" s="8"/>
      <c r="P84" s="8"/>
      <c r="Q84" s="8"/>
    </row>
    <row r="85" spans="1:17" hidden="1">
      <c r="A85" s="8" t="s">
        <v>331</v>
      </c>
      <c r="B85" s="8"/>
      <c r="C85" s="8"/>
      <c r="D85" s="8"/>
      <c r="E85" s="8"/>
      <c r="F85" s="8"/>
      <c r="G85" s="8"/>
      <c r="H85" s="27"/>
      <c r="I85" s="8"/>
      <c r="J85" s="8"/>
      <c r="K85" s="8"/>
      <c r="L85" s="8"/>
      <c r="M85" s="8"/>
      <c r="N85" s="8"/>
      <c r="O85" s="8"/>
      <c r="P85" s="8"/>
      <c r="Q85" s="8"/>
    </row>
    <row r="86" spans="1:17" hidden="1">
      <c r="A86" s="8" t="s">
        <v>332</v>
      </c>
      <c r="B86" s="8"/>
      <c r="C86" s="8"/>
      <c r="D86" s="8"/>
      <c r="E86" s="8"/>
      <c r="F86" s="8"/>
      <c r="G86" s="8"/>
      <c r="H86" s="27"/>
      <c r="I86" s="8"/>
      <c r="J86" s="8"/>
      <c r="K86" s="8"/>
      <c r="L86" s="8"/>
      <c r="M86" s="8"/>
      <c r="N86" s="8"/>
      <c r="O86" s="8"/>
      <c r="P86" s="8"/>
      <c r="Q86" s="8"/>
    </row>
    <row r="87" spans="1:17" hidden="1">
      <c r="A87" s="8" t="s">
        <v>333</v>
      </c>
      <c r="B87" s="8"/>
      <c r="C87" s="8"/>
      <c r="D87" s="8"/>
      <c r="E87" s="8"/>
      <c r="F87" s="8"/>
      <c r="G87" s="8"/>
      <c r="H87" s="27"/>
      <c r="I87" s="8"/>
      <c r="J87" s="8"/>
      <c r="K87" s="8"/>
      <c r="L87" s="8"/>
      <c r="M87" s="8"/>
      <c r="N87" s="8"/>
      <c r="O87" s="8"/>
      <c r="P87" s="8"/>
      <c r="Q87" s="8"/>
    </row>
    <row r="88" spans="1:17" hidden="1">
      <c r="A88" s="8" t="s">
        <v>334</v>
      </c>
      <c r="B88" s="8"/>
      <c r="C88" s="8"/>
      <c r="D88" s="8"/>
      <c r="E88" s="8"/>
      <c r="F88" s="8"/>
      <c r="G88" s="8"/>
      <c r="H88" s="27"/>
      <c r="I88" s="8"/>
      <c r="J88" s="8"/>
      <c r="K88" s="8"/>
      <c r="L88" s="8"/>
      <c r="M88" s="8"/>
      <c r="N88" s="8"/>
      <c r="O88" s="8"/>
      <c r="P88" s="8"/>
      <c r="Q88" s="8"/>
    </row>
    <row r="89" spans="1:17" hidden="1">
      <c r="A89" s="8" t="s">
        <v>335</v>
      </c>
      <c r="B89" s="8"/>
      <c r="C89" s="8"/>
      <c r="D89" s="8"/>
      <c r="E89" s="8"/>
      <c r="F89" s="8"/>
      <c r="G89" s="8"/>
      <c r="H89" s="27"/>
      <c r="I89" s="8"/>
      <c r="J89" s="8"/>
      <c r="K89" s="8"/>
      <c r="L89" s="8"/>
      <c r="M89" s="8"/>
      <c r="N89" s="8"/>
      <c r="O89" s="8"/>
      <c r="P89" s="8"/>
      <c r="Q89" s="8"/>
    </row>
    <row r="90" spans="1:17" hidden="1">
      <c r="A90" s="8" t="s">
        <v>336</v>
      </c>
      <c r="B90" s="8"/>
      <c r="C90" s="8"/>
      <c r="D90" s="8"/>
      <c r="E90" s="8"/>
      <c r="F90" s="8"/>
      <c r="G90" s="8"/>
      <c r="H90" s="27"/>
      <c r="I90" s="8"/>
      <c r="J90" s="8"/>
      <c r="K90" s="8"/>
      <c r="L90" s="8"/>
      <c r="M90" s="8"/>
      <c r="N90" s="8"/>
      <c r="O90" s="8"/>
      <c r="P90" s="8"/>
      <c r="Q90" s="8"/>
    </row>
    <row r="91" spans="1:17">
      <c r="N91" s="4"/>
      <c r="O91" s="4"/>
    </row>
    <row r="92" spans="1:17">
      <c r="N92" s="4"/>
      <c r="O92" s="4"/>
    </row>
    <row r="93" spans="1:17">
      <c r="N93" s="4"/>
      <c r="O93" s="4"/>
    </row>
    <row r="94" spans="1:17">
      <c r="N94" s="4"/>
      <c r="O94" s="4"/>
    </row>
    <row r="95" spans="1:17">
      <c r="N95" s="4"/>
      <c r="O95" s="4"/>
    </row>
    <row r="96" spans="1:17">
      <c r="N96" s="4"/>
      <c r="O96" s="4"/>
    </row>
    <row r="97" spans="14:15">
      <c r="N97" s="4"/>
      <c r="O97" s="4"/>
    </row>
    <row r="98" spans="14:15">
      <c r="N98" s="4"/>
      <c r="O98" s="4"/>
    </row>
    <row r="99" spans="14:15">
      <c r="N99" s="4"/>
      <c r="O99" s="4"/>
    </row>
    <row r="100" spans="14:15">
      <c r="N100" s="4"/>
      <c r="O100" s="4"/>
    </row>
    <row r="101" spans="14:15">
      <c r="N101" s="4"/>
      <c r="O101" s="4"/>
    </row>
    <row r="102" spans="14:15">
      <c r="N102" s="4"/>
      <c r="O102" s="4"/>
    </row>
    <row r="103" spans="14:15">
      <c r="N103" s="4"/>
      <c r="O103" s="4"/>
    </row>
    <row r="104" spans="14:15">
      <c r="N104" s="4"/>
      <c r="O104" s="4"/>
    </row>
    <row r="105" spans="14:15">
      <c r="N105" s="4"/>
      <c r="O105" s="4"/>
    </row>
    <row r="106" spans="14:15">
      <c r="N106" s="4"/>
      <c r="O106" s="4"/>
    </row>
    <row r="107" spans="14:15">
      <c r="N107" s="4"/>
      <c r="O107" s="4"/>
    </row>
    <row r="108" spans="14:15">
      <c r="N108" s="4"/>
      <c r="O108" s="4"/>
    </row>
    <row r="109" spans="14:15">
      <c r="N109" s="4"/>
      <c r="O109" s="4"/>
    </row>
    <row r="110" spans="14:15">
      <c r="N110" s="4"/>
      <c r="O110" s="4"/>
    </row>
    <row r="111" spans="14:15">
      <c r="N111" s="4"/>
      <c r="O111" s="4"/>
    </row>
    <row r="112" spans="14:15">
      <c r="N112" s="4"/>
      <c r="O112" s="4"/>
    </row>
    <row r="113" spans="14:15">
      <c r="N113" s="4"/>
      <c r="O113" s="4"/>
    </row>
    <row r="114" spans="14:15">
      <c r="N114" s="4"/>
      <c r="O114" s="4"/>
    </row>
    <row r="115" spans="14:15">
      <c r="N115" s="4"/>
      <c r="O115" s="4"/>
    </row>
    <row r="116" spans="14:15">
      <c r="N116" s="4"/>
      <c r="O116" s="4"/>
    </row>
    <row r="117" spans="14:15">
      <c r="N117" s="4"/>
      <c r="O117" s="4"/>
    </row>
    <row r="118" spans="14:15">
      <c r="N118" s="4"/>
      <c r="O118" s="4"/>
    </row>
    <row r="119" spans="14:15">
      <c r="N119" s="4"/>
      <c r="O119" s="4"/>
    </row>
    <row r="120" spans="14:15">
      <c r="N120" s="4"/>
      <c r="O120" s="4"/>
    </row>
    <row r="121" spans="14:15">
      <c r="N121" s="4"/>
      <c r="O121" s="4"/>
    </row>
    <row r="122" spans="14:15">
      <c r="N122" s="4"/>
      <c r="O122" s="4"/>
    </row>
    <row r="123" spans="14:15">
      <c r="N123" s="4"/>
      <c r="O123" s="4"/>
    </row>
    <row r="124" spans="14:15">
      <c r="N124" s="4"/>
      <c r="O124" s="4"/>
    </row>
    <row r="125" spans="14:15">
      <c r="N125" s="4"/>
      <c r="O125" s="4"/>
    </row>
    <row r="126" spans="14:15">
      <c r="N126" s="4"/>
      <c r="O126" s="4"/>
    </row>
    <row r="127" spans="14:15">
      <c r="N127" s="4"/>
      <c r="O127" s="4"/>
    </row>
    <row r="128" spans="14:15">
      <c r="N128" s="4"/>
      <c r="O128" s="4"/>
    </row>
    <row r="129" spans="14:15">
      <c r="N129" s="4"/>
      <c r="O129" s="4"/>
    </row>
    <row r="130" spans="14:15">
      <c r="N130" s="4"/>
      <c r="O130" s="4"/>
    </row>
    <row r="131" spans="14:15">
      <c r="N131" s="4"/>
      <c r="O131" s="4"/>
    </row>
    <row r="132" spans="14:15">
      <c r="N132" s="4"/>
      <c r="O132" s="4"/>
    </row>
    <row r="133" spans="14:15">
      <c r="N133" s="4"/>
      <c r="O133" s="4"/>
    </row>
    <row r="134" spans="14:15">
      <c r="N134" s="4"/>
      <c r="O134" s="4"/>
    </row>
    <row r="135" spans="14:15">
      <c r="N135" s="4"/>
      <c r="O135" s="4"/>
    </row>
    <row r="136" spans="14:15">
      <c r="N136" s="4"/>
      <c r="O136" s="4"/>
    </row>
    <row r="137" spans="14:15">
      <c r="N137" s="4"/>
      <c r="O137" s="4"/>
    </row>
    <row r="138" spans="14:15">
      <c r="N138" s="4"/>
      <c r="O138" s="4"/>
    </row>
    <row r="139" spans="14:15">
      <c r="N139" s="4"/>
      <c r="O139" s="4"/>
    </row>
    <row r="140" spans="14:15">
      <c r="N140" s="4"/>
      <c r="O140" s="4"/>
    </row>
    <row r="141" spans="14:15">
      <c r="N141" s="4"/>
      <c r="O141" s="4"/>
    </row>
    <row r="142" spans="14:15">
      <c r="N142" s="4"/>
      <c r="O142" s="4"/>
    </row>
    <row r="143" spans="14:15">
      <c r="N143" s="4"/>
      <c r="O143" s="4"/>
    </row>
    <row r="144" spans="14:15">
      <c r="N144" s="4"/>
      <c r="O144" s="4"/>
    </row>
    <row r="145" spans="14:15">
      <c r="N145" s="4"/>
      <c r="O145" s="4"/>
    </row>
    <row r="146" spans="14:15">
      <c r="N146" s="4"/>
      <c r="O146" s="4"/>
    </row>
    <row r="147" spans="14:15">
      <c r="N147" s="4"/>
      <c r="O147" s="4"/>
    </row>
    <row r="148" spans="14:15">
      <c r="N148" s="4"/>
      <c r="O148" s="4"/>
    </row>
    <row r="149" spans="14:15">
      <c r="N149" s="4"/>
      <c r="O149" s="4"/>
    </row>
    <row r="150" spans="14:15">
      <c r="N150" s="4"/>
      <c r="O150" s="4"/>
    </row>
    <row r="151" spans="14:15" ht="15" customHeight="1"/>
  </sheetData>
  <autoFilter ref="A1:O90" xr:uid="{00000000-0001-0000-0000-000000000000}">
    <filterColumn colId="10">
      <filters>
        <filter val="profile.beneficiary.received_from_blacklist_dttm"/>
        <filter val="profile.customer.city_x000a_profile.customer.location_country"/>
        <filter val="profile.customer.device_id _x000a_profile.customer.ip_address_x000a_profile.customer.payment_dttm"/>
        <filter val="profile.customer.device_id _x000a_profile.customer.payment_dttm"/>
        <filter val="profile.customer.location_country_dttm_x000a_profile.customer.location_country"/>
        <filter val="profile.customer.login_country_x000a_profile.customer.login_dttm"/>
        <filter val="profile.customer.payment_dttm"/>
        <filter val="profile.customer.payment_dttm_x000a_profile.customer.payment_amount"/>
        <filter val="profile.customer.transaction_dttm"/>
        <filter val="profile.customer.transaction_dttm_x000a_profile.customer.transaction_status"/>
        <filter val="profile.customer_beneficiary.payments_made_to_beneficiary_vol"/>
        <filter val="profile.device.customer_id_x000a_profile.device.payment_dttm"/>
      </filters>
    </filterColumn>
  </autoFilter>
  <phoneticPr fontId="3" type="noConversion"/>
  <dataValidations count="1">
    <dataValidation type="list" allowBlank="1" showInputMessage="1" showErrorMessage="1" sqref="M2:M519" xr:uid="{00000000-0002-0000-0000-000000000000}">
      <formula1>"High,Medium,Low,Auto-Close"</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0206C-52F2-4C70-9A23-D647B1CBBFAD}">
  <sheetPr>
    <tabColor rgb="FF00B0F0"/>
  </sheetPr>
  <dimension ref="A1:F19"/>
  <sheetViews>
    <sheetView workbookViewId="0">
      <selection activeCell="D20" sqref="D20"/>
    </sheetView>
  </sheetViews>
  <sheetFormatPr defaultRowHeight="15"/>
  <cols>
    <col min="1" max="1" width="22" bestFit="1" customWidth="1"/>
    <col min="2" max="2" width="22" customWidth="1"/>
    <col min="3" max="3" width="23.42578125" bestFit="1" customWidth="1"/>
    <col min="4" max="4" width="15.7109375" bestFit="1" customWidth="1"/>
    <col min="5" max="5" width="12.140625" bestFit="1" customWidth="1"/>
    <col min="6" max="6" width="6.7109375" bestFit="1" customWidth="1"/>
  </cols>
  <sheetData>
    <row r="1" spans="1:6">
      <c r="A1" s="34" t="s">
        <v>337</v>
      </c>
      <c r="B1" s="34" t="s">
        <v>338</v>
      </c>
      <c r="C1" s="34" t="s">
        <v>338</v>
      </c>
      <c r="D1" s="34" t="s">
        <v>339</v>
      </c>
      <c r="E1" s="34" t="s">
        <v>340</v>
      </c>
      <c r="F1" s="34" t="s">
        <v>341</v>
      </c>
    </row>
    <row r="2" spans="1:6">
      <c r="A2" t="s">
        <v>342</v>
      </c>
      <c r="B2" s="43" t="s">
        <v>343</v>
      </c>
      <c r="C2" s="36" t="s">
        <v>344</v>
      </c>
      <c r="D2" t="s">
        <v>345</v>
      </c>
      <c r="E2" t="s">
        <v>346</v>
      </c>
      <c r="F2" s="37" t="str">
        <f>CONCATENATE(D2,E2)</f>
        <v>CKBP</v>
      </c>
    </row>
    <row r="3" spans="1:6">
      <c r="A3" t="s">
        <v>342</v>
      </c>
      <c r="B3" s="44"/>
      <c r="C3" s="36" t="s">
        <v>347</v>
      </c>
      <c r="D3" t="s">
        <v>345</v>
      </c>
      <c r="E3" t="s">
        <v>346</v>
      </c>
      <c r="F3" s="37" t="str">
        <f t="shared" ref="F3:F16" si="0">CONCATENATE(D3,E3)</f>
        <v>CKBP</v>
      </c>
    </row>
    <row r="4" spans="1:6">
      <c r="A4" t="s">
        <v>342</v>
      </c>
      <c r="B4" s="44"/>
      <c r="C4" s="36" t="s">
        <v>348</v>
      </c>
      <c r="D4" t="s">
        <v>345</v>
      </c>
      <c r="E4" t="s">
        <v>346</v>
      </c>
      <c r="F4" s="37" t="str">
        <f t="shared" si="0"/>
        <v>CKBP</v>
      </c>
    </row>
    <row r="5" spans="1:6">
      <c r="A5" t="s">
        <v>342</v>
      </c>
      <c r="B5" s="44"/>
      <c r="C5" s="36" t="s">
        <v>349</v>
      </c>
      <c r="D5" t="s">
        <v>345</v>
      </c>
      <c r="E5" t="s">
        <v>346</v>
      </c>
      <c r="F5" s="37" t="str">
        <f t="shared" si="0"/>
        <v>CKBP</v>
      </c>
    </row>
    <row r="6" spans="1:6">
      <c r="A6" t="s">
        <v>342</v>
      </c>
      <c r="B6" s="44" t="s">
        <v>350</v>
      </c>
      <c r="C6" s="36" t="s">
        <v>351</v>
      </c>
      <c r="D6" t="s">
        <v>345</v>
      </c>
      <c r="E6" t="s">
        <v>352</v>
      </c>
      <c r="F6" s="35" t="str">
        <f>CONCATENATE(D6,E6)</f>
        <v>CKFP</v>
      </c>
    </row>
    <row r="7" spans="1:6">
      <c r="A7" t="s">
        <v>342</v>
      </c>
      <c r="B7" s="44"/>
      <c r="C7" s="36" t="s">
        <v>353</v>
      </c>
      <c r="D7" t="s">
        <v>345</v>
      </c>
      <c r="E7" t="s">
        <v>352</v>
      </c>
      <c r="F7" s="35" t="str">
        <f t="shared" si="0"/>
        <v>CKFP</v>
      </c>
    </row>
    <row r="8" spans="1:6">
      <c r="A8" t="s">
        <v>342</v>
      </c>
      <c r="B8" s="44"/>
      <c r="C8" s="36" t="s">
        <v>354</v>
      </c>
      <c r="D8" t="s">
        <v>345</v>
      </c>
      <c r="E8" t="s">
        <v>355</v>
      </c>
      <c r="F8" s="38" t="str">
        <f>CONCATENATE(D8,E8)</f>
        <v>CKPT</v>
      </c>
    </row>
    <row r="9" spans="1:6">
      <c r="A9" t="s">
        <v>342</v>
      </c>
      <c r="B9" s="44" t="s">
        <v>356</v>
      </c>
      <c r="C9" s="36" t="s">
        <v>357</v>
      </c>
      <c r="D9" t="s">
        <v>345</v>
      </c>
      <c r="E9" t="s">
        <v>355</v>
      </c>
      <c r="F9" s="38" t="str">
        <f t="shared" si="0"/>
        <v>CKPT</v>
      </c>
    </row>
    <row r="10" spans="1:6">
      <c r="A10" t="s">
        <v>342</v>
      </c>
      <c r="B10" s="44"/>
      <c r="C10" s="36" t="s">
        <v>358</v>
      </c>
      <c r="D10" t="s">
        <v>345</v>
      </c>
      <c r="E10" t="s">
        <v>355</v>
      </c>
      <c r="F10" s="38" t="str">
        <f>CONCATENATE(D10,E10)</f>
        <v>CKPT</v>
      </c>
    </row>
    <row r="11" spans="1:6">
      <c r="A11" t="s">
        <v>342</v>
      </c>
      <c r="B11" s="44"/>
      <c r="C11" s="36" t="s">
        <v>359</v>
      </c>
      <c r="D11" t="s">
        <v>345</v>
      </c>
      <c r="E11" t="s">
        <v>355</v>
      </c>
      <c r="F11" s="38" t="str">
        <f t="shared" si="0"/>
        <v>CKPT</v>
      </c>
    </row>
    <row r="12" spans="1:6">
      <c r="A12" t="s">
        <v>342</v>
      </c>
      <c r="B12" s="44" t="s">
        <v>360</v>
      </c>
      <c r="C12" s="36" t="s">
        <v>361</v>
      </c>
      <c r="D12" t="s">
        <v>345</v>
      </c>
      <c r="E12" t="s">
        <v>355</v>
      </c>
      <c r="F12" s="38" t="str">
        <f t="shared" si="0"/>
        <v>CKPT</v>
      </c>
    </row>
    <row r="13" spans="1:6">
      <c r="A13" t="s">
        <v>342</v>
      </c>
      <c r="B13" s="44"/>
      <c r="C13" s="36" t="s">
        <v>362</v>
      </c>
      <c r="D13" t="s">
        <v>345</v>
      </c>
      <c r="E13" t="s">
        <v>355</v>
      </c>
      <c r="F13" s="38" t="str">
        <f t="shared" ref="F13" si="1">CONCATENATE(D13,E13)</f>
        <v>CKPT</v>
      </c>
    </row>
    <row r="14" spans="1:6">
      <c r="A14" t="s">
        <v>342</v>
      </c>
      <c r="B14" s="40" t="s">
        <v>363</v>
      </c>
      <c r="C14" s="36" t="s">
        <v>363</v>
      </c>
      <c r="D14" t="s">
        <v>345</v>
      </c>
      <c r="E14" t="s">
        <v>355</v>
      </c>
      <c r="F14" s="38" t="s">
        <v>364</v>
      </c>
    </row>
    <row r="15" spans="1:6">
      <c r="A15" t="s">
        <v>365</v>
      </c>
      <c r="B15" s="44" t="s">
        <v>366</v>
      </c>
      <c r="C15" s="36" t="s">
        <v>367</v>
      </c>
      <c r="D15" t="s">
        <v>368</v>
      </c>
      <c r="E15" t="s">
        <v>369</v>
      </c>
      <c r="F15" s="39" t="str">
        <f t="shared" si="0"/>
        <v>CSAT</v>
      </c>
    </row>
    <row r="16" spans="1:6">
      <c r="A16" t="s">
        <v>365</v>
      </c>
      <c r="B16" s="44"/>
      <c r="C16" s="36" t="s">
        <v>370</v>
      </c>
      <c r="D16" t="s">
        <v>368</v>
      </c>
      <c r="E16" t="s">
        <v>369</v>
      </c>
      <c r="F16" s="39" t="str">
        <f t="shared" si="0"/>
        <v>CSAT</v>
      </c>
    </row>
    <row r="18" spans="1:1">
      <c r="A18" t="s">
        <v>371</v>
      </c>
    </row>
    <row r="19" spans="1:1">
      <c r="A19" t="s">
        <v>372</v>
      </c>
    </row>
  </sheetData>
  <mergeCells count="5">
    <mergeCell ref="B2:B5"/>
    <mergeCell ref="B15:B16"/>
    <mergeCell ref="B12:B13"/>
    <mergeCell ref="B6:B8"/>
    <mergeCell ref="B9:B11"/>
  </mergeCells>
  <conditionalFormatting sqref="F2:F16">
    <cfRule type="expression" dxfId="0" priority="3" stopIfTrue="1">
      <formula>$F$9</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6DAD5-A6BF-413B-BD37-AD378A4984B8}">
  <sheetPr>
    <tabColor rgb="FF00B0F0"/>
  </sheetPr>
  <dimension ref="A1:B6"/>
  <sheetViews>
    <sheetView workbookViewId="0">
      <selection activeCell="I8" sqref="I8"/>
    </sheetView>
  </sheetViews>
  <sheetFormatPr defaultRowHeight="15"/>
  <cols>
    <col min="1" max="1" width="28.42578125" bestFit="1" customWidth="1"/>
    <col min="2" max="2" width="109.5703125" style="4" bestFit="1" customWidth="1"/>
  </cols>
  <sheetData>
    <row r="1" spans="1:2">
      <c r="A1" s="22" t="s">
        <v>373</v>
      </c>
      <c r="B1" s="23" t="s">
        <v>11</v>
      </c>
    </row>
    <row r="2" spans="1:2">
      <c r="A2" s="24" t="s">
        <v>240</v>
      </c>
      <c r="B2" s="4" t="s">
        <v>374</v>
      </c>
    </row>
    <row r="3" spans="1:2">
      <c r="A3" s="24" t="s">
        <v>56</v>
      </c>
      <c r="B3" s="4" t="s">
        <v>375</v>
      </c>
    </row>
    <row r="4" spans="1:2">
      <c r="A4" s="24" t="s">
        <v>218</v>
      </c>
      <c r="B4" s="4" t="s">
        <v>376</v>
      </c>
    </row>
    <row r="5" spans="1:2">
      <c r="A5" s="3" t="s">
        <v>229</v>
      </c>
      <c r="B5" s="4" t="s">
        <v>377</v>
      </c>
    </row>
    <row r="6" spans="1:2">
      <c r="A6" s="2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M557"/>
  <sheetViews>
    <sheetView workbookViewId="0">
      <selection activeCell="B536" sqref="B536"/>
    </sheetView>
  </sheetViews>
  <sheetFormatPr defaultRowHeight="15"/>
  <cols>
    <col min="1" max="1" width="21" style="25" bestFit="1" customWidth="1"/>
    <col min="2" max="2" width="19.85546875" style="25" bestFit="1" customWidth="1"/>
    <col min="3" max="3" width="19" style="25" customWidth="1"/>
    <col min="4" max="4" width="19" style="32" customWidth="1"/>
    <col min="5" max="5" width="19" style="25" customWidth="1"/>
    <col min="6" max="6" width="49.28515625" style="25" bestFit="1" customWidth="1"/>
    <col min="7" max="7" width="21" style="25" hidden="1" customWidth="1"/>
    <col min="8" max="8" width="17" style="25" customWidth="1"/>
  </cols>
  <sheetData>
    <row r="1" spans="1:13">
      <c r="A1" s="22" t="s">
        <v>378</v>
      </c>
      <c r="B1" s="22" t="s">
        <v>379</v>
      </c>
      <c r="C1" s="22" t="s">
        <v>380</v>
      </c>
      <c r="D1" s="22" t="s">
        <v>381</v>
      </c>
      <c r="E1" s="22" t="s">
        <v>382</v>
      </c>
      <c r="F1" s="22" t="s">
        <v>383</v>
      </c>
      <c r="G1" s="22" t="s">
        <v>384</v>
      </c>
      <c r="H1" s="22"/>
      <c r="I1" s="22"/>
      <c r="J1" s="22"/>
      <c r="K1" s="22"/>
      <c r="L1" s="22"/>
      <c r="M1" s="22"/>
    </row>
    <row r="2" spans="1:13">
      <c r="A2" s="25" t="s">
        <v>385</v>
      </c>
      <c r="B2" s="25" t="s">
        <v>386</v>
      </c>
      <c r="C2" s="25" t="s">
        <v>387</v>
      </c>
      <c r="D2" s="32">
        <v>2</v>
      </c>
      <c r="E2" s="25" t="s">
        <v>388</v>
      </c>
      <c r="F2" s="25" t="str">
        <f t="shared" ref="F2:F65" si="0">CONCATENATE("message.",A2,".",B2)</f>
        <v>message.solution.authenticationType</v>
      </c>
    </row>
    <row r="3" spans="1:13">
      <c r="A3" s="25" t="s">
        <v>385</v>
      </c>
      <c r="B3" s="25" t="s">
        <v>389</v>
      </c>
      <c r="C3" s="25" t="s">
        <v>387</v>
      </c>
      <c r="D3" s="32">
        <v>10</v>
      </c>
      <c r="E3" s="25" t="s">
        <v>390</v>
      </c>
      <c r="F3" s="25" t="str">
        <f t="shared" si="0"/>
        <v>message.solution.source</v>
      </c>
    </row>
    <row r="4" spans="1:13">
      <c r="A4" s="25" t="s">
        <v>385</v>
      </c>
      <c r="B4" s="25" t="s">
        <v>391</v>
      </c>
      <c r="C4" s="25" t="s">
        <v>387</v>
      </c>
      <c r="D4" s="32">
        <v>2</v>
      </c>
      <c r="E4" s="25" t="s">
        <v>390</v>
      </c>
      <c r="F4" s="25" t="str">
        <f t="shared" si="0"/>
        <v>message.solution.messagePriority</v>
      </c>
    </row>
    <row r="5" spans="1:13">
      <c r="A5" s="25" t="s">
        <v>385</v>
      </c>
      <c r="B5" s="25" t="s">
        <v>392</v>
      </c>
      <c r="C5" s="25" t="s">
        <v>387</v>
      </c>
      <c r="D5" s="32">
        <v>40</v>
      </c>
      <c r="E5" s="25" t="s">
        <v>390</v>
      </c>
      <c r="F5" s="25" t="str">
        <f t="shared" si="0"/>
        <v>message.solution.messageVisibility</v>
      </c>
    </row>
    <row r="6" spans="1:13">
      <c r="A6" s="25" t="s">
        <v>385</v>
      </c>
      <c r="B6" s="25" t="s">
        <v>393</v>
      </c>
      <c r="C6" s="25" t="s">
        <v>387</v>
      </c>
      <c r="D6" s="32">
        <v>2</v>
      </c>
      <c r="E6" s="25" t="s">
        <v>388</v>
      </c>
      <c r="F6" s="25" t="str">
        <f t="shared" si="0"/>
        <v>message.solution.customerType</v>
      </c>
    </row>
    <row r="7" spans="1:13">
      <c r="A7" s="25" t="s">
        <v>385</v>
      </c>
      <c r="B7" s="25" t="s">
        <v>394</v>
      </c>
      <c r="C7" s="25" t="s">
        <v>387</v>
      </c>
      <c r="D7" s="32">
        <v>5</v>
      </c>
      <c r="E7" s="25" t="s">
        <v>390</v>
      </c>
      <c r="F7" s="25" t="str">
        <f t="shared" si="0"/>
        <v>message.solution.messageTz</v>
      </c>
    </row>
    <row r="8" spans="1:13">
      <c r="A8" s="25" t="s">
        <v>385</v>
      </c>
      <c r="B8" s="25" t="s">
        <v>395</v>
      </c>
      <c r="C8" s="25" t="s">
        <v>396</v>
      </c>
      <c r="E8" s="25" t="s">
        <v>390</v>
      </c>
      <c r="F8" s="25" t="str">
        <f t="shared" si="0"/>
        <v>message.solution.messageDtTmUtc</v>
      </c>
    </row>
    <row r="9" spans="1:13">
      <c r="A9" s="25" t="s">
        <v>385</v>
      </c>
      <c r="B9" s="25" t="s">
        <v>397</v>
      </c>
      <c r="C9" s="25" t="s">
        <v>387</v>
      </c>
      <c r="D9" s="32">
        <v>40</v>
      </c>
      <c r="E9" s="25" t="s">
        <v>390</v>
      </c>
      <c r="F9" s="25" t="str">
        <f t="shared" si="0"/>
        <v>message.solution.sourceDesc</v>
      </c>
    </row>
    <row r="10" spans="1:13">
      <c r="A10" s="25" t="s">
        <v>385</v>
      </c>
      <c r="B10" s="25" t="s">
        <v>398</v>
      </c>
      <c r="C10" s="25" t="s">
        <v>387</v>
      </c>
      <c r="D10" s="32">
        <v>1</v>
      </c>
      <c r="E10" s="25" t="s">
        <v>390</v>
      </c>
      <c r="F10" s="25" t="str">
        <f t="shared" si="0"/>
        <v>message.solution.messageOntimeInd</v>
      </c>
    </row>
    <row r="11" spans="1:13">
      <c r="A11" s="25" t="s">
        <v>385</v>
      </c>
      <c r="B11" s="25" t="s">
        <v>399</v>
      </c>
      <c r="C11" s="25" t="s">
        <v>387</v>
      </c>
      <c r="D11" s="32">
        <v>40</v>
      </c>
      <c r="E11" s="25" t="s">
        <v>390</v>
      </c>
      <c r="F11" s="25" t="str">
        <f t="shared" si="0"/>
        <v>message.solution.messageOntimeDesc</v>
      </c>
    </row>
    <row r="12" spans="1:13">
      <c r="A12" s="25" t="s">
        <v>385</v>
      </c>
      <c r="B12" s="25" t="s">
        <v>400</v>
      </c>
      <c r="C12" s="25" t="s">
        <v>387</v>
      </c>
      <c r="D12" s="32">
        <v>2</v>
      </c>
      <c r="E12" s="25" t="s">
        <v>388</v>
      </c>
      <c r="F12" s="25" t="str">
        <f t="shared" si="0"/>
        <v>message.solution.originationType</v>
      </c>
    </row>
    <row r="13" spans="1:13">
      <c r="A13" s="25" t="s">
        <v>385</v>
      </c>
      <c r="B13" s="25" t="s">
        <v>401</v>
      </c>
      <c r="C13" s="25" t="s">
        <v>387</v>
      </c>
      <c r="D13" s="32">
        <v>10</v>
      </c>
      <c r="E13" s="25" t="s">
        <v>390</v>
      </c>
      <c r="F13" s="25" t="str">
        <f t="shared" si="0"/>
        <v>message.solution.destination</v>
      </c>
    </row>
    <row r="14" spans="1:13">
      <c r="A14" s="25" t="s">
        <v>385</v>
      </c>
      <c r="B14" s="25" t="s">
        <v>402</v>
      </c>
      <c r="C14" s="25" t="s">
        <v>387</v>
      </c>
      <c r="D14" s="32">
        <v>2</v>
      </c>
      <c r="E14" s="25" t="s">
        <v>388</v>
      </c>
      <c r="F14" s="25" t="str">
        <f t="shared" si="0"/>
        <v>message.solution.activityType</v>
      </c>
    </row>
    <row r="15" spans="1:13">
      <c r="A15" s="25" t="s">
        <v>385</v>
      </c>
      <c r="B15" s="25" t="s">
        <v>403</v>
      </c>
      <c r="C15" s="25" t="s">
        <v>396</v>
      </c>
      <c r="E15" s="25" t="s">
        <v>390</v>
      </c>
      <c r="F15" s="25" t="str">
        <f t="shared" si="0"/>
        <v>message.solution.messageDtTm</v>
      </c>
    </row>
    <row r="16" spans="1:13">
      <c r="A16" s="25" t="s">
        <v>385</v>
      </c>
      <c r="B16" s="25" t="s">
        <v>404</v>
      </c>
      <c r="C16" s="25" t="s">
        <v>387</v>
      </c>
      <c r="D16" s="32">
        <v>2</v>
      </c>
      <c r="E16" s="25" t="s">
        <v>388</v>
      </c>
      <c r="F16" s="25" t="str">
        <f t="shared" si="0"/>
        <v>message.solution.channelType</v>
      </c>
    </row>
    <row r="17" spans="1:6">
      <c r="A17" s="25" t="s">
        <v>385</v>
      </c>
      <c r="B17" s="25" t="s">
        <v>405</v>
      </c>
      <c r="C17" s="25" t="s">
        <v>387</v>
      </c>
      <c r="D17" s="32">
        <v>40</v>
      </c>
      <c r="E17" s="25" t="s">
        <v>390</v>
      </c>
      <c r="F17" s="25" t="str">
        <f t="shared" si="0"/>
        <v>message.solution.destinationDesc</v>
      </c>
    </row>
    <row r="18" spans="1:6">
      <c r="A18" s="25" t="s">
        <v>406</v>
      </c>
      <c r="B18" s="25" t="s">
        <v>407</v>
      </c>
      <c r="C18" s="25" t="s">
        <v>387</v>
      </c>
      <c r="D18" s="32">
        <v>200</v>
      </c>
      <c r="E18" s="25" t="s">
        <v>388</v>
      </c>
      <c r="F18" s="25" t="str">
        <f t="shared" si="0"/>
        <v>message.applicant.name</v>
      </c>
    </row>
    <row r="19" spans="1:6">
      <c r="A19" s="25" t="s">
        <v>406</v>
      </c>
      <c r="B19" s="25" t="s">
        <v>408</v>
      </c>
      <c r="C19" s="25" t="s">
        <v>387</v>
      </c>
      <c r="D19" s="32">
        <v>5</v>
      </c>
      <c r="E19" s="25" t="s">
        <v>388</v>
      </c>
      <c r="F19" s="25" t="str">
        <f t="shared" si="0"/>
        <v>message.applicant.salaryFrequency</v>
      </c>
    </row>
    <row r="20" spans="1:6">
      <c r="A20" s="25" t="s">
        <v>406</v>
      </c>
      <c r="B20" s="25" t="s">
        <v>409</v>
      </c>
      <c r="C20" s="25" t="s">
        <v>387</v>
      </c>
      <c r="D20" s="32">
        <v>50</v>
      </c>
      <c r="E20" s="25" t="s">
        <v>388</v>
      </c>
      <c r="F20" s="25" t="str">
        <f t="shared" si="0"/>
        <v>message.applicant.maritalStatus</v>
      </c>
    </row>
    <row r="21" spans="1:6">
      <c r="A21" s="25" t="s">
        <v>406</v>
      </c>
      <c r="B21" s="25" t="s">
        <v>410</v>
      </c>
      <c r="C21" s="25" t="s">
        <v>387</v>
      </c>
      <c r="D21" s="32">
        <v>10</v>
      </c>
      <c r="E21" s="25" t="s">
        <v>388</v>
      </c>
      <c r="F21" s="25" t="str">
        <f t="shared" si="0"/>
        <v>message.applicant.type</v>
      </c>
    </row>
    <row r="22" spans="1:6">
      <c r="A22" s="25" t="s">
        <v>406</v>
      </c>
      <c r="B22" s="25" t="s">
        <v>411</v>
      </c>
      <c r="C22" s="25" t="s">
        <v>387</v>
      </c>
      <c r="D22" s="32">
        <v>100</v>
      </c>
      <c r="E22" s="25" t="s">
        <v>388</v>
      </c>
      <c r="F22" s="25" t="str">
        <f t="shared" si="0"/>
        <v>message.applicant.previousFirstName</v>
      </c>
    </row>
    <row r="23" spans="1:6">
      <c r="A23" s="25" t="s">
        <v>406</v>
      </c>
      <c r="B23" s="25" t="s">
        <v>412</v>
      </c>
      <c r="C23" s="25" t="s">
        <v>413</v>
      </c>
      <c r="E23" s="25" t="s">
        <v>388</v>
      </c>
      <c r="F23" s="25" t="str">
        <f t="shared" si="0"/>
        <v>message.applicant.dependents</v>
      </c>
    </row>
    <row r="24" spans="1:6">
      <c r="A24" s="25" t="s">
        <v>406</v>
      </c>
      <c r="B24" s="25" t="s">
        <v>414</v>
      </c>
      <c r="C24" s="25" t="s">
        <v>387</v>
      </c>
      <c r="D24" s="32">
        <v>3</v>
      </c>
      <c r="E24" s="25" t="s">
        <v>388</v>
      </c>
      <c r="F24" s="25" t="str">
        <f t="shared" si="0"/>
        <v>message.applicant.language</v>
      </c>
    </row>
    <row r="25" spans="1:6">
      <c r="A25" s="25" t="s">
        <v>406</v>
      </c>
      <c r="B25" s="25" t="s">
        <v>415</v>
      </c>
      <c r="C25" s="25" t="s">
        <v>387</v>
      </c>
      <c r="D25" s="32">
        <v>3</v>
      </c>
      <c r="E25" s="25" t="s">
        <v>388</v>
      </c>
      <c r="F25" s="25" t="str">
        <f t="shared" si="0"/>
        <v>message.applicant.languageCode</v>
      </c>
    </row>
    <row r="26" spans="1:6">
      <c r="A26" s="25" t="s">
        <v>406</v>
      </c>
      <c r="B26" s="25" t="s">
        <v>416</v>
      </c>
      <c r="C26" s="25" t="s">
        <v>387</v>
      </c>
      <c r="D26" s="32">
        <v>36</v>
      </c>
      <c r="E26" s="25" t="s">
        <v>388</v>
      </c>
      <c r="F26" s="25" t="str">
        <f t="shared" si="0"/>
        <v>message.applicant.educationLevel</v>
      </c>
    </row>
    <row r="27" spans="1:6">
      <c r="A27" s="25" t="s">
        <v>406</v>
      </c>
      <c r="B27" s="25" t="s">
        <v>417</v>
      </c>
      <c r="C27" s="25" t="s">
        <v>418</v>
      </c>
      <c r="E27" s="25" t="s">
        <v>388</v>
      </c>
      <c r="F27" s="25" t="str">
        <f t="shared" si="0"/>
        <v>message.applicant.monthlyRegularIncome</v>
      </c>
    </row>
    <row r="28" spans="1:6">
      <c r="A28" s="25" t="s">
        <v>406</v>
      </c>
      <c r="B28" s="25" t="s">
        <v>419</v>
      </c>
      <c r="C28" s="25" t="s">
        <v>387</v>
      </c>
      <c r="D28" s="32">
        <v>20</v>
      </c>
      <c r="E28" s="25" t="s">
        <v>388</v>
      </c>
      <c r="F28" s="25" t="str">
        <f t="shared" si="0"/>
        <v>message.applicant.identifierDesc</v>
      </c>
    </row>
    <row r="29" spans="1:6">
      <c r="A29" s="25" t="s">
        <v>406</v>
      </c>
      <c r="B29" s="25" t="s">
        <v>420</v>
      </c>
      <c r="C29" s="25" t="s">
        <v>387</v>
      </c>
      <c r="D29" s="32">
        <v>50</v>
      </c>
      <c r="E29" s="25" t="s">
        <v>388</v>
      </c>
      <c r="F29" s="25" t="str">
        <f t="shared" si="0"/>
        <v>message.applicant.residentialStatus</v>
      </c>
    </row>
    <row r="30" spans="1:6">
      <c r="A30" s="25" t="s">
        <v>406</v>
      </c>
      <c r="B30" s="25" t="s">
        <v>421</v>
      </c>
      <c r="C30" s="25" t="s">
        <v>387</v>
      </c>
      <c r="D30" s="32">
        <v>36</v>
      </c>
      <c r="E30" s="25" t="s">
        <v>388</v>
      </c>
      <c r="F30" s="25" t="str">
        <f t="shared" si="0"/>
        <v>message.applicant.category</v>
      </c>
    </row>
    <row r="31" spans="1:6">
      <c r="A31" s="25" t="s">
        <v>406</v>
      </c>
      <c r="B31" s="25" t="s">
        <v>422</v>
      </c>
      <c r="C31" s="25" t="s">
        <v>387</v>
      </c>
      <c r="D31" s="32">
        <v>100</v>
      </c>
      <c r="E31" s="25" t="s">
        <v>388</v>
      </c>
      <c r="F31" s="25" t="str">
        <f t="shared" si="0"/>
        <v>message.applicant.identifier</v>
      </c>
    </row>
    <row r="32" spans="1:6">
      <c r="A32" s="25" t="s">
        <v>406</v>
      </c>
      <c r="B32" s="25" t="s">
        <v>423</v>
      </c>
      <c r="C32" s="25" t="s">
        <v>424</v>
      </c>
      <c r="E32" s="25" t="s">
        <v>388</v>
      </c>
      <c r="F32" s="25" t="str">
        <f t="shared" si="0"/>
        <v>message.applicant.vipFlg</v>
      </c>
    </row>
    <row r="33" spans="1:6">
      <c r="A33" s="25" t="s">
        <v>406</v>
      </c>
      <c r="B33" s="25" t="s">
        <v>425</v>
      </c>
      <c r="C33" s="25" t="s">
        <v>418</v>
      </c>
      <c r="E33" s="25" t="s">
        <v>388</v>
      </c>
      <c r="F33" s="25" t="str">
        <f t="shared" si="0"/>
        <v>message.applicant.outstandingDebt</v>
      </c>
    </row>
    <row r="34" spans="1:6">
      <c r="A34" s="25" t="s">
        <v>406</v>
      </c>
      <c r="B34" s="25" t="s">
        <v>426</v>
      </c>
      <c r="C34" s="25" t="s">
        <v>387</v>
      </c>
      <c r="D34" s="32">
        <v>3</v>
      </c>
      <c r="E34" s="25" t="s">
        <v>388</v>
      </c>
      <c r="F34" s="25" t="str">
        <f t="shared" si="0"/>
        <v>message.applicant.incomeStatusType</v>
      </c>
    </row>
    <row r="35" spans="1:6">
      <c r="A35" s="25" t="s">
        <v>406</v>
      </c>
      <c r="B35" s="25" t="s">
        <v>427</v>
      </c>
      <c r="C35" s="25" t="s">
        <v>387</v>
      </c>
      <c r="D35" s="32">
        <v>200</v>
      </c>
      <c r="E35" s="25" t="s">
        <v>388</v>
      </c>
      <c r="F35" s="25" t="str">
        <f t="shared" si="0"/>
        <v>message.applicant.previousName</v>
      </c>
    </row>
    <row r="36" spans="1:6">
      <c r="A36" s="25" t="s">
        <v>406</v>
      </c>
      <c r="B36" s="25" t="s">
        <v>428</v>
      </c>
      <c r="C36" s="25" t="s">
        <v>418</v>
      </c>
      <c r="E36" s="25" t="s">
        <v>388</v>
      </c>
      <c r="F36" s="25" t="str">
        <f t="shared" si="0"/>
        <v>message.applicant.gmtOffset</v>
      </c>
    </row>
    <row r="37" spans="1:6">
      <c r="A37" s="25" t="s">
        <v>406</v>
      </c>
      <c r="B37" s="25" t="s">
        <v>429</v>
      </c>
      <c r="C37" s="25" t="s">
        <v>387</v>
      </c>
      <c r="D37" s="32">
        <v>10</v>
      </c>
      <c r="E37" s="25" t="s">
        <v>388</v>
      </c>
      <c r="F37" s="25" t="str">
        <f t="shared" si="0"/>
        <v>message.applicant.gender</v>
      </c>
    </row>
    <row r="38" spans="1:6">
      <c r="A38" s="25" t="s">
        <v>406</v>
      </c>
      <c r="B38" s="25" t="s">
        <v>430</v>
      </c>
      <c r="C38" s="25" t="s">
        <v>387</v>
      </c>
      <c r="D38" s="32">
        <v>100</v>
      </c>
      <c r="E38" s="25" t="s">
        <v>388</v>
      </c>
      <c r="F38" s="25" t="str">
        <f t="shared" si="0"/>
        <v>message.applicant.firstName</v>
      </c>
    </row>
    <row r="39" spans="1:6">
      <c r="A39" s="25" t="s">
        <v>406</v>
      </c>
      <c r="B39" s="25" t="s">
        <v>431</v>
      </c>
      <c r="C39" s="25" t="s">
        <v>387</v>
      </c>
      <c r="D39" s="32">
        <v>100</v>
      </c>
      <c r="E39" s="25" t="s">
        <v>388</v>
      </c>
      <c r="F39" s="25" t="str">
        <f t="shared" si="0"/>
        <v>message.applicant.surname</v>
      </c>
    </row>
    <row r="40" spans="1:6">
      <c r="A40" s="25" t="s">
        <v>406</v>
      </c>
      <c r="B40" s="25" t="s">
        <v>432</v>
      </c>
      <c r="C40" s="25" t="s">
        <v>387</v>
      </c>
      <c r="D40" s="32">
        <v>3</v>
      </c>
      <c r="E40" s="25" t="s">
        <v>388</v>
      </c>
      <c r="F40" s="25" t="str">
        <f t="shared" si="0"/>
        <v>message.applicant.outstandingDebtCurrency</v>
      </c>
    </row>
    <row r="41" spans="1:6">
      <c r="A41" s="25" t="s">
        <v>406</v>
      </c>
      <c r="B41" s="25" t="s">
        <v>433</v>
      </c>
      <c r="C41" s="25" t="s">
        <v>387</v>
      </c>
      <c r="D41" s="32">
        <v>100</v>
      </c>
      <c r="E41" s="25" t="s">
        <v>388</v>
      </c>
      <c r="F41" s="25" t="str">
        <f t="shared" si="0"/>
        <v>message.applicant.previousSurname</v>
      </c>
    </row>
    <row r="42" spans="1:6">
      <c r="A42" s="25" t="s">
        <v>406</v>
      </c>
      <c r="B42" s="25" t="s">
        <v>434</v>
      </c>
      <c r="C42" s="25" t="s">
        <v>418</v>
      </c>
      <c r="E42" s="25" t="s">
        <v>388</v>
      </c>
      <c r="F42" s="25" t="str">
        <f t="shared" si="0"/>
        <v>message.applicant.monthlyRegularOutgoing</v>
      </c>
    </row>
    <row r="43" spans="1:6">
      <c r="A43" s="25" t="s">
        <v>435</v>
      </c>
      <c r="B43" s="25" t="s">
        <v>436</v>
      </c>
      <c r="C43" s="25" t="s">
        <v>424</v>
      </c>
      <c r="E43" s="25" t="s">
        <v>388</v>
      </c>
      <c r="F43" s="25" t="str">
        <f t="shared" si="0"/>
        <v>message.application.securedFlg</v>
      </c>
    </row>
    <row r="44" spans="1:6">
      <c r="A44" s="25" t="s">
        <v>435</v>
      </c>
      <c r="B44" s="25" t="s">
        <v>437</v>
      </c>
      <c r="C44" s="25" t="s">
        <v>387</v>
      </c>
      <c r="D44" s="32">
        <v>1</v>
      </c>
      <c r="E44" s="25" t="s">
        <v>388</v>
      </c>
      <c r="F44" s="25" t="str">
        <f t="shared" si="0"/>
        <v>message.application.repaymentScheduleInd</v>
      </c>
    </row>
    <row r="45" spans="1:6">
      <c r="A45" s="25" t="s">
        <v>435</v>
      </c>
      <c r="B45" s="25" t="s">
        <v>438</v>
      </c>
      <c r="C45" s="25" t="s">
        <v>396</v>
      </c>
      <c r="E45" s="25" t="s">
        <v>388</v>
      </c>
      <c r="F45" s="25" t="str">
        <f t="shared" si="0"/>
        <v>message.application.startDt</v>
      </c>
    </row>
    <row r="46" spans="1:6">
      <c r="A46" s="25" t="s">
        <v>435</v>
      </c>
      <c r="B46" s="25" t="s">
        <v>439</v>
      </c>
      <c r="C46" s="25" t="s">
        <v>387</v>
      </c>
      <c r="D46" s="32">
        <v>50</v>
      </c>
      <c r="E46" s="25" t="s">
        <v>388</v>
      </c>
      <c r="F46" s="25" t="str">
        <f t="shared" si="0"/>
        <v>message.application.statusDesc</v>
      </c>
    </row>
    <row r="47" spans="1:6">
      <c r="A47" s="25" t="s">
        <v>435</v>
      </c>
      <c r="B47" s="25" t="s">
        <v>440</v>
      </c>
      <c r="C47" s="25" t="s">
        <v>396</v>
      </c>
      <c r="E47" s="25" t="s">
        <v>388</v>
      </c>
      <c r="F47" s="25" t="str">
        <f t="shared" si="0"/>
        <v>message.application.openDt</v>
      </c>
    </row>
    <row r="48" spans="1:6">
      <c r="A48" s="25" t="s">
        <v>435</v>
      </c>
      <c r="B48" s="25" t="s">
        <v>441</v>
      </c>
      <c r="C48" s="25" t="s">
        <v>387</v>
      </c>
      <c r="D48" s="32">
        <v>100</v>
      </c>
      <c r="E48" s="25" t="s">
        <v>388</v>
      </c>
      <c r="F48" s="25" t="str">
        <f t="shared" si="0"/>
        <v>message.application.purpose</v>
      </c>
    </row>
    <row r="49" spans="1:6">
      <c r="A49" s="25" t="s">
        <v>435</v>
      </c>
      <c r="B49" s="25" t="s">
        <v>442</v>
      </c>
      <c r="C49" s="25" t="s">
        <v>413</v>
      </c>
      <c r="E49" s="25" t="s">
        <v>388</v>
      </c>
      <c r="F49" s="25" t="str">
        <f t="shared" si="0"/>
        <v>message.application.depositLoanToValue</v>
      </c>
    </row>
    <row r="50" spans="1:6">
      <c r="A50" s="25" t="s">
        <v>435</v>
      </c>
      <c r="B50" s="25" t="s">
        <v>443</v>
      </c>
      <c r="C50" s="25" t="s">
        <v>387</v>
      </c>
      <c r="D50" s="32">
        <v>20</v>
      </c>
      <c r="E50" s="25" t="s">
        <v>388</v>
      </c>
      <c r="F50" s="25" t="str">
        <f t="shared" si="0"/>
        <v>message.application.stage</v>
      </c>
    </row>
    <row r="51" spans="1:6">
      <c r="A51" s="25" t="s">
        <v>435</v>
      </c>
      <c r="B51" s="25" t="s">
        <v>444</v>
      </c>
      <c r="C51" s="25" t="s">
        <v>424</v>
      </c>
      <c r="E51" s="25" t="s">
        <v>388</v>
      </c>
      <c r="F51" s="25" t="str">
        <f t="shared" si="0"/>
        <v>message.application.protectionPolicyFlg</v>
      </c>
    </row>
    <row r="52" spans="1:6">
      <c r="A52" s="25" t="s">
        <v>435</v>
      </c>
      <c r="B52" s="25" t="s">
        <v>445</v>
      </c>
      <c r="C52" s="25" t="s">
        <v>424</v>
      </c>
      <c r="E52" s="25" t="s">
        <v>388</v>
      </c>
      <c r="F52" s="25" t="str">
        <f t="shared" si="0"/>
        <v>message.application.lifeInsuranceFlg</v>
      </c>
    </row>
    <row r="53" spans="1:6">
      <c r="A53" s="25" t="s">
        <v>435</v>
      </c>
      <c r="B53" s="25" t="s">
        <v>446</v>
      </c>
      <c r="C53" s="25" t="s">
        <v>387</v>
      </c>
      <c r="D53" s="32">
        <v>50</v>
      </c>
      <c r="E53" s="25" t="s">
        <v>388</v>
      </c>
      <c r="F53" s="25" t="str">
        <f t="shared" si="0"/>
        <v>message.application.channel</v>
      </c>
    </row>
    <row r="54" spans="1:6">
      <c r="A54" s="25" t="s">
        <v>435</v>
      </c>
      <c r="B54" s="25" t="s">
        <v>447</v>
      </c>
      <c r="C54" s="25" t="s">
        <v>413</v>
      </c>
      <c r="E54" s="25" t="s">
        <v>388</v>
      </c>
      <c r="F54" s="25" t="str">
        <f t="shared" si="0"/>
        <v>message.application.repaymentScheduleAmount</v>
      </c>
    </row>
    <row r="55" spans="1:6">
      <c r="A55" s="25" t="s">
        <v>435</v>
      </c>
      <c r="B55" s="25" t="s">
        <v>448</v>
      </c>
      <c r="C55" s="25" t="s">
        <v>387</v>
      </c>
      <c r="D55" s="32">
        <v>3</v>
      </c>
      <c r="E55" s="25" t="s">
        <v>388</v>
      </c>
      <c r="F55" s="25" t="str">
        <f t="shared" si="0"/>
        <v>message.application.currencyCode</v>
      </c>
    </row>
    <row r="56" spans="1:6">
      <c r="A56" s="25" t="s">
        <v>435</v>
      </c>
      <c r="B56" s="25" t="s">
        <v>449</v>
      </c>
      <c r="C56" s="25" t="s">
        <v>424</v>
      </c>
      <c r="E56" s="25" t="s">
        <v>388</v>
      </c>
      <c r="F56" s="25" t="str">
        <f t="shared" si="0"/>
        <v>message.application.depositFlg</v>
      </c>
    </row>
    <row r="57" spans="1:6">
      <c r="A57" s="25" t="s">
        <v>435</v>
      </c>
      <c r="B57" s="25" t="s">
        <v>450</v>
      </c>
      <c r="C57" s="25" t="s">
        <v>387</v>
      </c>
      <c r="D57" s="32">
        <v>3</v>
      </c>
      <c r="E57" s="25" t="s">
        <v>388</v>
      </c>
      <c r="F57" s="25" t="str">
        <f t="shared" si="0"/>
        <v>message.application.depositCurrency</v>
      </c>
    </row>
    <row r="58" spans="1:6">
      <c r="A58" s="25" t="s">
        <v>435</v>
      </c>
      <c r="B58" s="25" t="s">
        <v>451</v>
      </c>
      <c r="C58" s="25" t="s">
        <v>413</v>
      </c>
      <c r="E58" s="25" t="s">
        <v>388</v>
      </c>
      <c r="F58" s="25" t="str">
        <f t="shared" si="0"/>
        <v>message.application.amount</v>
      </c>
    </row>
    <row r="59" spans="1:6">
      <c r="A59" s="25" t="s">
        <v>435</v>
      </c>
      <c r="B59" s="25" t="s">
        <v>452</v>
      </c>
      <c r="C59" s="25" t="s">
        <v>387</v>
      </c>
      <c r="D59" s="32">
        <v>10</v>
      </c>
      <c r="E59" s="25" t="s">
        <v>388</v>
      </c>
      <c r="F59" s="25" t="str">
        <f t="shared" si="0"/>
        <v>message.application.repaymentScheduleDetails</v>
      </c>
    </row>
    <row r="60" spans="1:6">
      <c r="A60" s="25" t="s">
        <v>435</v>
      </c>
      <c r="B60" s="25" t="s">
        <v>453</v>
      </c>
      <c r="C60" s="25" t="s">
        <v>396</v>
      </c>
      <c r="E60" s="25" t="s">
        <v>388</v>
      </c>
      <c r="F60" s="25" t="str">
        <f t="shared" si="0"/>
        <v>message.application.updatedDt</v>
      </c>
    </row>
    <row r="61" spans="1:6">
      <c r="A61" s="25" t="s">
        <v>435</v>
      </c>
      <c r="B61" s="25" t="s">
        <v>454</v>
      </c>
      <c r="C61" s="25" t="s">
        <v>413</v>
      </c>
      <c r="E61" s="25" t="s">
        <v>388</v>
      </c>
      <c r="F61" s="25" t="str">
        <f t="shared" si="0"/>
        <v>message.application.securityUsdValue</v>
      </c>
    </row>
    <row r="62" spans="1:6">
      <c r="A62" s="25" t="s">
        <v>435</v>
      </c>
      <c r="B62" s="25" t="s">
        <v>455</v>
      </c>
      <c r="C62" s="25" t="s">
        <v>387</v>
      </c>
      <c r="D62" s="32">
        <v>3</v>
      </c>
      <c r="E62" s="25" t="s">
        <v>388</v>
      </c>
      <c r="F62" s="25" t="str">
        <f t="shared" si="0"/>
        <v>message.application.depositCurrencyCode</v>
      </c>
    </row>
    <row r="63" spans="1:6">
      <c r="A63" s="25" t="s">
        <v>435</v>
      </c>
      <c r="B63" s="25" t="s">
        <v>456</v>
      </c>
      <c r="C63" s="25" t="s">
        <v>387</v>
      </c>
      <c r="D63" s="32">
        <v>3</v>
      </c>
      <c r="E63" s="25" t="s">
        <v>388</v>
      </c>
      <c r="F63" s="25" t="str">
        <f t="shared" si="0"/>
        <v>message.application.securityCurrencyCode</v>
      </c>
    </row>
    <row r="64" spans="1:6">
      <c r="A64" s="25" t="s">
        <v>435</v>
      </c>
      <c r="B64" s="25" t="s">
        <v>457</v>
      </c>
      <c r="C64" s="25" t="s">
        <v>413</v>
      </c>
      <c r="E64" s="25" t="s">
        <v>388</v>
      </c>
      <c r="F64" s="25" t="str">
        <f t="shared" si="0"/>
        <v>message.application.securityValue</v>
      </c>
    </row>
    <row r="65" spans="1:6">
      <c r="A65" s="25" t="s">
        <v>435</v>
      </c>
      <c r="B65" s="25" t="s">
        <v>410</v>
      </c>
      <c r="C65" s="25" t="s">
        <v>387</v>
      </c>
      <c r="D65" s="32">
        <v>20</v>
      </c>
      <c r="E65" s="25" t="s">
        <v>388</v>
      </c>
      <c r="F65" s="25" t="str">
        <f t="shared" si="0"/>
        <v>message.application.type</v>
      </c>
    </row>
    <row r="66" spans="1:6">
      <c r="A66" s="25" t="s">
        <v>435</v>
      </c>
      <c r="B66" s="25" t="s">
        <v>458</v>
      </c>
      <c r="C66" s="25" t="s">
        <v>396</v>
      </c>
      <c r="E66" s="25" t="s">
        <v>388</v>
      </c>
      <c r="F66" s="25" t="str">
        <f t="shared" ref="F66:F129" si="1">CONCATENATE("message.",A66,".",B66)</f>
        <v>message.application.endDt</v>
      </c>
    </row>
    <row r="67" spans="1:6">
      <c r="A67" s="25" t="s">
        <v>435</v>
      </c>
      <c r="B67" s="25" t="s">
        <v>459</v>
      </c>
      <c r="C67" s="25" t="s">
        <v>387</v>
      </c>
      <c r="D67" s="32">
        <v>3</v>
      </c>
      <c r="E67" s="25" t="s">
        <v>388</v>
      </c>
      <c r="F67" s="25" t="str">
        <f t="shared" si="1"/>
        <v>message.application.currency</v>
      </c>
    </row>
    <row r="68" spans="1:6">
      <c r="A68" s="25" t="s">
        <v>435</v>
      </c>
      <c r="B68" s="25" t="s">
        <v>460</v>
      </c>
      <c r="C68" s="25" t="s">
        <v>396</v>
      </c>
      <c r="E68" s="25" t="s">
        <v>388</v>
      </c>
      <c r="F68" s="25" t="str">
        <f t="shared" si="1"/>
        <v>message.application.securityValueDt</v>
      </c>
    </row>
    <row r="69" spans="1:6">
      <c r="A69" s="25" t="s">
        <v>435</v>
      </c>
      <c r="B69" s="25" t="s">
        <v>461</v>
      </c>
      <c r="C69" s="25" t="s">
        <v>396</v>
      </c>
      <c r="E69" s="25" t="s">
        <v>388</v>
      </c>
      <c r="F69" s="25" t="str">
        <f t="shared" si="1"/>
        <v>message.application.matureDt</v>
      </c>
    </row>
    <row r="70" spans="1:6">
      <c r="A70" s="25" t="s">
        <v>435</v>
      </c>
      <c r="B70" s="25" t="s">
        <v>462</v>
      </c>
      <c r="C70" s="25" t="s">
        <v>413</v>
      </c>
      <c r="E70" s="25" t="s">
        <v>388</v>
      </c>
      <c r="F70" s="25" t="str">
        <f t="shared" si="1"/>
        <v>message.application.interestRate</v>
      </c>
    </row>
    <row r="71" spans="1:6">
      <c r="A71" s="25" t="s">
        <v>435</v>
      </c>
      <c r="B71" s="25" t="s">
        <v>463</v>
      </c>
      <c r="C71" s="25" t="s">
        <v>387</v>
      </c>
      <c r="D71" s="32">
        <v>3</v>
      </c>
      <c r="E71" s="25" t="s">
        <v>388</v>
      </c>
      <c r="F71" s="25" t="str">
        <f t="shared" si="1"/>
        <v>message.application.securityCurrency</v>
      </c>
    </row>
    <row r="72" spans="1:6">
      <c r="A72" s="25" t="s">
        <v>435</v>
      </c>
      <c r="B72" s="25" t="s">
        <v>464</v>
      </c>
      <c r="C72" s="25" t="s">
        <v>387</v>
      </c>
      <c r="D72" s="32">
        <v>20</v>
      </c>
      <c r="E72" s="25" t="s">
        <v>388</v>
      </c>
      <c r="F72" s="25" t="str">
        <f t="shared" si="1"/>
        <v>message.application.status</v>
      </c>
    </row>
    <row r="73" spans="1:6">
      <c r="A73" s="25" t="s">
        <v>435</v>
      </c>
      <c r="B73" s="25" t="s">
        <v>465</v>
      </c>
      <c r="C73" s="25" t="s">
        <v>387</v>
      </c>
      <c r="D73" s="32">
        <v>50</v>
      </c>
      <c r="E73" s="25" t="s">
        <v>388</v>
      </c>
      <c r="F73" s="25" t="str">
        <f t="shared" si="1"/>
        <v>message.application.stageDesc</v>
      </c>
    </row>
    <row r="74" spans="1:6">
      <c r="A74" s="25" t="s">
        <v>435</v>
      </c>
      <c r="B74" s="25" t="s">
        <v>466</v>
      </c>
      <c r="C74" s="25" t="s">
        <v>387</v>
      </c>
      <c r="D74" s="32">
        <v>50</v>
      </c>
      <c r="E74" s="25" t="s">
        <v>388</v>
      </c>
      <c r="F74" s="25" t="str">
        <f t="shared" si="1"/>
        <v>message.application.securityDetails</v>
      </c>
    </row>
    <row r="75" spans="1:6">
      <c r="A75" s="25" t="s">
        <v>435</v>
      </c>
      <c r="B75" s="25" t="s">
        <v>467</v>
      </c>
      <c r="C75" s="25" t="s">
        <v>396</v>
      </c>
      <c r="E75" s="25" t="s">
        <v>388</v>
      </c>
      <c r="F75" s="25" t="str">
        <f t="shared" si="1"/>
        <v>message.application.validDt</v>
      </c>
    </row>
    <row r="76" spans="1:6">
      <c r="A76" s="25" t="s">
        <v>435</v>
      </c>
      <c r="B76" s="25" t="s">
        <v>468</v>
      </c>
      <c r="C76" s="25" t="s">
        <v>413</v>
      </c>
      <c r="E76" s="25" t="s">
        <v>388</v>
      </c>
      <c r="F76" s="25" t="str">
        <f t="shared" si="1"/>
        <v>message.application.repaymentScheduleUsdAmount</v>
      </c>
    </row>
    <row r="77" spans="1:6">
      <c r="A77" s="25" t="s">
        <v>435</v>
      </c>
      <c r="B77" s="25" t="s">
        <v>422</v>
      </c>
      <c r="C77" s="25" t="s">
        <v>387</v>
      </c>
      <c r="D77" s="32">
        <v>100</v>
      </c>
      <c r="E77" s="25" t="s">
        <v>388</v>
      </c>
      <c r="F77" s="25" t="str">
        <f t="shared" si="1"/>
        <v>message.application.identifier</v>
      </c>
    </row>
    <row r="78" spans="1:6">
      <c r="A78" s="25" t="s">
        <v>435</v>
      </c>
      <c r="B78" s="25" t="s">
        <v>469</v>
      </c>
      <c r="C78" s="25" t="s">
        <v>413</v>
      </c>
      <c r="E78" s="25" t="s">
        <v>388</v>
      </c>
      <c r="F78" s="25" t="str">
        <f t="shared" si="1"/>
        <v>message.application.term</v>
      </c>
    </row>
    <row r="79" spans="1:6">
      <c r="A79" s="25" t="s">
        <v>435</v>
      </c>
      <c r="B79" s="25" t="s">
        <v>470</v>
      </c>
      <c r="C79" s="25" t="s">
        <v>413</v>
      </c>
      <c r="E79" s="25" t="s">
        <v>388</v>
      </c>
      <c r="F79" s="25" t="str">
        <f t="shared" si="1"/>
        <v>message.application.usdAmount</v>
      </c>
    </row>
    <row r="80" spans="1:6">
      <c r="A80" s="25" t="s">
        <v>435</v>
      </c>
      <c r="B80" s="25" t="s">
        <v>471</v>
      </c>
      <c r="C80" s="25" t="s">
        <v>387</v>
      </c>
      <c r="D80" s="32">
        <v>100</v>
      </c>
      <c r="E80" s="25" t="s">
        <v>388</v>
      </c>
      <c r="F80" s="25" t="str">
        <f t="shared" si="1"/>
        <v>message.application.subType</v>
      </c>
    </row>
    <row r="81" spans="1:6">
      <c r="A81" s="25" t="s">
        <v>435</v>
      </c>
      <c r="B81" s="25" t="s">
        <v>472</v>
      </c>
      <c r="C81" s="25" t="s">
        <v>413</v>
      </c>
      <c r="E81" s="25" t="s">
        <v>388</v>
      </c>
      <c r="F81" s="25" t="str">
        <f t="shared" si="1"/>
        <v>message.application.depositUsdAmount</v>
      </c>
    </row>
    <row r="82" spans="1:6">
      <c r="A82" s="25" t="s">
        <v>435</v>
      </c>
      <c r="B82" s="25" t="s">
        <v>473</v>
      </c>
      <c r="C82" s="25" t="s">
        <v>413</v>
      </c>
      <c r="E82" s="25" t="s">
        <v>388</v>
      </c>
      <c r="F82" s="25" t="str">
        <f t="shared" si="1"/>
        <v>message.application.depositAmount</v>
      </c>
    </row>
    <row r="83" spans="1:6">
      <c r="A83" s="25" t="s">
        <v>474</v>
      </c>
      <c r="B83" s="25" t="s">
        <v>475</v>
      </c>
      <c r="C83" s="25" t="s">
        <v>387</v>
      </c>
      <c r="D83" s="32">
        <v>25</v>
      </c>
      <c r="E83" s="25" t="s">
        <v>388</v>
      </c>
      <c r="F83" s="25" t="str">
        <f t="shared" si="1"/>
        <v>message.authentication.decision</v>
      </c>
    </row>
    <row r="84" spans="1:6">
      <c r="A84" s="25" t="s">
        <v>474</v>
      </c>
      <c r="B84" s="25" t="s">
        <v>476</v>
      </c>
      <c r="C84" s="25" t="s">
        <v>387</v>
      </c>
      <c r="D84" s="32">
        <v>25</v>
      </c>
      <c r="E84" s="25" t="s">
        <v>388</v>
      </c>
      <c r="F84" s="25" t="str">
        <f t="shared" si="1"/>
        <v>message.authentication.result</v>
      </c>
    </row>
    <row r="85" spans="1:6">
      <c r="A85" s="25" t="s">
        <v>474</v>
      </c>
      <c r="B85" s="25" t="s">
        <v>477</v>
      </c>
      <c r="C85" s="25" t="s">
        <v>387</v>
      </c>
      <c r="D85" s="32">
        <v>50</v>
      </c>
      <c r="E85" s="25" t="s">
        <v>388</v>
      </c>
      <c r="F85" s="25" t="str">
        <f t="shared" si="1"/>
        <v>message.authentication.event</v>
      </c>
    </row>
    <row r="86" spans="1:6">
      <c r="A86" s="25" t="s">
        <v>474</v>
      </c>
      <c r="B86" s="25" t="s">
        <v>478</v>
      </c>
      <c r="C86" s="25" t="s">
        <v>387</v>
      </c>
      <c r="D86" s="32">
        <v>50</v>
      </c>
      <c r="E86" s="25" t="s">
        <v>388</v>
      </c>
      <c r="F86" s="25" t="str">
        <f t="shared" si="1"/>
        <v>message.authentication.method</v>
      </c>
    </row>
    <row r="87" spans="1:6">
      <c r="A87" s="25" t="s">
        <v>474</v>
      </c>
      <c r="B87" s="25" t="s">
        <v>479</v>
      </c>
      <c r="C87" s="25" t="s">
        <v>387</v>
      </c>
      <c r="D87" s="32">
        <v>100</v>
      </c>
      <c r="E87" s="25" t="s">
        <v>388</v>
      </c>
      <c r="F87" s="25" t="str">
        <f t="shared" si="1"/>
        <v>message.authentication.decisionDetails</v>
      </c>
    </row>
    <row r="88" spans="1:6">
      <c r="A88" s="25" t="s">
        <v>474</v>
      </c>
      <c r="B88" s="25" t="s">
        <v>480</v>
      </c>
      <c r="C88" s="25" t="s">
        <v>413</v>
      </c>
      <c r="E88" s="25" t="s">
        <v>388</v>
      </c>
      <c r="F88" s="25" t="str">
        <f t="shared" si="1"/>
        <v>message.authentication.attemptNumber</v>
      </c>
    </row>
    <row r="89" spans="1:6">
      <c r="A89" s="25" t="s">
        <v>474</v>
      </c>
      <c r="B89" s="25" t="s">
        <v>471</v>
      </c>
      <c r="C89" s="25" t="s">
        <v>387</v>
      </c>
      <c r="D89" s="32">
        <v>100</v>
      </c>
      <c r="E89" s="25" t="s">
        <v>388</v>
      </c>
      <c r="F89" s="25" t="str">
        <f t="shared" si="1"/>
        <v>message.authentication.subType</v>
      </c>
    </row>
    <row r="90" spans="1:6">
      <c r="A90" s="25" t="s">
        <v>474</v>
      </c>
      <c r="B90" s="25" t="s">
        <v>481</v>
      </c>
      <c r="C90" s="25" t="s">
        <v>387</v>
      </c>
      <c r="D90" s="32">
        <v>10</v>
      </c>
      <c r="E90" s="25" t="s">
        <v>388</v>
      </c>
      <c r="F90" s="25" t="str">
        <f t="shared" si="1"/>
        <v>message.authentication.level</v>
      </c>
    </row>
    <row r="91" spans="1:6">
      <c r="A91" s="25" t="s">
        <v>474</v>
      </c>
      <c r="B91" s="25" t="s">
        <v>410</v>
      </c>
      <c r="C91" s="25" t="s">
        <v>387</v>
      </c>
      <c r="D91" s="32">
        <v>50</v>
      </c>
      <c r="E91" s="25" t="s">
        <v>388</v>
      </c>
      <c r="F91" s="25" t="str">
        <f t="shared" si="1"/>
        <v>message.authentication.type</v>
      </c>
    </row>
    <row r="92" spans="1:6">
      <c r="A92" s="25" t="s">
        <v>474</v>
      </c>
      <c r="B92" s="25" t="s">
        <v>482</v>
      </c>
      <c r="C92" s="25" t="s">
        <v>413</v>
      </c>
      <c r="E92" s="25" t="s">
        <v>388</v>
      </c>
      <c r="F92" s="25" t="str">
        <f t="shared" si="1"/>
        <v>message.authentication.decisionScore</v>
      </c>
    </row>
    <row r="93" spans="1:6">
      <c r="A93" s="25" t="s">
        <v>483</v>
      </c>
      <c r="B93" s="25" t="s">
        <v>484</v>
      </c>
      <c r="C93" s="25" t="s">
        <v>387</v>
      </c>
      <c r="D93" s="32">
        <v>6</v>
      </c>
      <c r="E93" s="25" t="s">
        <v>388</v>
      </c>
      <c r="F93" s="25" t="str">
        <f t="shared" si="1"/>
        <v>message.cardemv.cvmrData</v>
      </c>
    </row>
    <row r="94" spans="1:6">
      <c r="A94" s="25" t="s">
        <v>483</v>
      </c>
      <c r="B94" s="25" t="s">
        <v>485</v>
      </c>
      <c r="C94" s="25" t="s">
        <v>387</v>
      </c>
      <c r="D94" s="32">
        <v>2</v>
      </c>
      <c r="E94" s="25" t="s">
        <v>388</v>
      </c>
      <c r="F94" s="25" t="str">
        <f t="shared" si="1"/>
        <v>message.cardemv.chipConditionCode</v>
      </c>
    </row>
    <row r="95" spans="1:6">
      <c r="A95" s="25" t="s">
        <v>483</v>
      </c>
      <c r="B95" s="25" t="s">
        <v>486</v>
      </c>
      <c r="C95" s="25" t="s">
        <v>387</v>
      </c>
      <c r="D95" s="32">
        <v>40</v>
      </c>
      <c r="E95" s="25" t="s">
        <v>388</v>
      </c>
      <c r="F95" s="25" t="str">
        <f t="shared" si="1"/>
        <v>message.cardemv.terminalVerificationResults</v>
      </c>
    </row>
    <row r="96" spans="1:6">
      <c r="A96" s="25" t="s">
        <v>483</v>
      </c>
      <c r="B96" s="25" t="s">
        <v>487</v>
      </c>
      <c r="C96" s="25" t="s">
        <v>387</v>
      </c>
      <c r="D96" s="32">
        <v>2</v>
      </c>
      <c r="E96" s="25" t="s">
        <v>388</v>
      </c>
      <c r="F96" s="25" t="str">
        <f t="shared" si="1"/>
        <v>message.cardemv.hostMaxConsecutiveOfflineTxns</v>
      </c>
    </row>
    <row r="97" spans="1:6">
      <c r="A97" s="25" t="s">
        <v>483</v>
      </c>
      <c r="B97" s="25" t="s">
        <v>488</v>
      </c>
      <c r="C97" s="25" t="s">
        <v>387</v>
      </c>
      <c r="D97" s="32">
        <v>1</v>
      </c>
      <c r="E97" s="25" t="s">
        <v>388</v>
      </c>
      <c r="F97" s="25" t="str">
        <f t="shared" si="1"/>
        <v>message.cardemv.chipCardDataScheme</v>
      </c>
    </row>
    <row r="98" spans="1:6">
      <c r="A98" s="25" t="s">
        <v>483</v>
      </c>
      <c r="B98" s="25" t="s">
        <v>489</v>
      </c>
      <c r="C98" s="25" t="s">
        <v>387</v>
      </c>
      <c r="D98" s="32">
        <v>4</v>
      </c>
      <c r="E98" s="25" t="s">
        <v>388</v>
      </c>
      <c r="F98" s="25" t="str">
        <f t="shared" si="1"/>
        <v>message.cardemv.lastOnlineApplicationTxnCounter</v>
      </c>
    </row>
    <row r="99" spans="1:6">
      <c r="A99" s="25" t="s">
        <v>483</v>
      </c>
      <c r="B99" s="25" t="s">
        <v>490</v>
      </c>
      <c r="C99" s="25" t="s">
        <v>387</v>
      </c>
      <c r="D99" s="32">
        <v>24</v>
      </c>
      <c r="E99" s="25" t="s">
        <v>388</v>
      </c>
      <c r="F99" s="25" t="str">
        <f t="shared" si="1"/>
        <v>message.cardemv.terminalCapabilityProfile</v>
      </c>
    </row>
    <row r="100" spans="1:6">
      <c r="A100" s="25" t="s">
        <v>483</v>
      </c>
      <c r="B100" s="25" t="s">
        <v>491</v>
      </c>
      <c r="C100" s="25" t="s">
        <v>387</v>
      </c>
      <c r="D100" s="32">
        <v>1</v>
      </c>
      <c r="E100" s="25" t="s">
        <v>388</v>
      </c>
      <c r="F100" s="25" t="str">
        <f t="shared" si="1"/>
        <v>message.cardemv.chipCardDataStatus</v>
      </c>
    </row>
    <row r="101" spans="1:6">
      <c r="A101" s="25" t="s">
        <v>483</v>
      </c>
      <c r="B101" s="25" t="s">
        <v>492</v>
      </c>
      <c r="C101" s="25" t="s">
        <v>387</v>
      </c>
      <c r="D101" s="32">
        <v>4</v>
      </c>
      <c r="E101" s="25" t="s">
        <v>388</v>
      </c>
      <c r="F101" s="25" t="str">
        <f t="shared" si="1"/>
        <v>message.cardemv.cardApplicationTxnCounter</v>
      </c>
    </row>
    <row r="102" spans="1:6">
      <c r="A102" s="25" t="s">
        <v>483</v>
      </c>
      <c r="B102" s="25" t="s">
        <v>493</v>
      </c>
      <c r="C102" s="25" t="s">
        <v>387</v>
      </c>
      <c r="D102" s="32">
        <v>8</v>
      </c>
      <c r="E102" s="25" t="s">
        <v>388</v>
      </c>
      <c r="F102" s="25" t="str">
        <f t="shared" si="1"/>
        <v>message.cardemv.applicationInterchangeProfile</v>
      </c>
    </row>
    <row r="103" spans="1:6">
      <c r="A103" s="25" t="s">
        <v>483</v>
      </c>
      <c r="B103" s="25" t="s">
        <v>494</v>
      </c>
      <c r="C103" s="25" t="s">
        <v>387</v>
      </c>
      <c r="D103" s="32">
        <v>4</v>
      </c>
      <c r="E103" s="25" t="s">
        <v>388</v>
      </c>
      <c r="F103" s="25" t="str">
        <f t="shared" si="1"/>
        <v>message.cardemv.applicationTxnCounterHost</v>
      </c>
    </row>
    <row r="104" spans="1:6">
      <c r="A104" s="25" t="s">
        <v>483</v>
      </c>
      <c r="B104" s="25" t="s">
        <v>495</v>
      </c>
      <c r="C104" s="25" t="s">
        <v>387</v>
      </c>
      <c r="D104" s="32">
        <v>48</v>
      </c>
      <c r="E104" s="25" t="s">
        <v>388</v>
      </c>
      <c r="F104" s="25" t="str">
        <f t="shared" si="1"/>
        <v>message.cardemv.cardVerificationResults</v>
      </c>
    </row>
    <row r="105" spans="1:6">
      <c r="A105" s="25" t="s">
        <v>483</v>
      </c>
      <c r="B105" s="25" t="s">
        <v>496</v>
      </c>
      <c r="C105" s="25" t="s">
        <v>387</v>
      </c>
      <c r="D105" s="32">
        <v>1</v>
      </c>
      <c r="E105" s="25" t="s">
        <v>388</v>
      </c>
      <c r="F105" s="25" t="str">
        <f t="shared" si="1"/>
        <v>message.cardemv.arqcValid</v>
      </c>
    </row>
    <row r="106" spans="1:6">
      <c r="A106" s="25" t="s">
        <v>497</v>
      </c>
      <c r="B106" s="25" t="s">
        <v>498</v>
      </c>
      <c r="C106" s="25" t="s">
        <v>413</v>
      </c>
      <c r="E106" s="25" t="s">
        <v>388</v>
      </c>
      <c r="F106" s="25" t="str">
        <f t="shared" si="1"/>
        <v>message.cardfinancial.authenticationDecision</v>
      </c>
    </row>
    <row r="107" spans="1:6">
      <c r="A107" s="25" t="s">
        <v>497</v>
      </c>
      <c r="B107" s="25" t="s">
        <v>499</v>
      </c>
      <c r="C107" s="25" t="s">
        <v>387</v>
      </c>
      <c r="D107" s="32">
        <v>2</v>
      </c>
      <c r="E107" s="25" t="s">
        <v>388</v>
      </c>
      <c r="F107" s="25" t="str">
        <f t="shared" si="1"/>
        <v>message.cardfinancial.posEntryType</v>
      </c>
    </row>
    <row r="108" spans="1:6">
      <c r="A108" s="25" t="s">
        <v>497</v>
      </c>
      <c r="B108" s="25" t="s">
        <v>500</v>
      </c>
      <c r="C108" s="25" t="s">
        <v>387</v>
      </c>
      <c r="D108" s="32">
        <v>1</v>
      </c>
      <c r="E108" s="25" t="s">
        <v>388</v>
      </c>
      <c r="F108" s="25" t="str">
        <f t="shared" si="1"/>
        <v>message.cardfinancial.cardPresentInd</v>
      </c>
    </row>
    <row r="109" spans="1:6">
      <c r="A109" s="25" t="s">
        <v>497</v>
      </c>
      <c r="B109" s="25" t="s">
        <v>501</v>
      </c>
      <c r="C109" s="25" t="s">
        <v>413</v>
      </c>
      <c r="E109" s="25" t="s">
        <v>388</v>
      </c>
      <c r="F109" s="25" t="str">
        <f t="shared" si="1"/>
        <v>message.cardfinancial.cashbackCurrency</v>
      </c>
    </row>
    <row r="110" spans="1:6">
      <c r="A110" s="25" t="s">
        <v>497</v>
      </c>
      <c r="B110" s="25" t="s">
        <v>470</v>
      </c>
      <c r="C110" s="25" t="s">
        <v>418</v>
      </c>
      <c r="E110" s="25" t="s">
        <v>388</v>
      </c>
      <c r="F110" s="25" t="str">
        <f t="shared" si="1"/>
        <v>message.cardfinancial.usdAmount</v>
      </c>
    </row>
    <row r="111" spans="1:6">
      <c r="A111" s="25" t="s">
        <v>497</v>
      </c>
      <c r="B111" s="25" t="s">
        <v>502</v>
      </c>
      <c r="C111" s="25" t="s">
        <v>387</v>
      </c>
      <c r="D111" s="32">
        <v>3</v>
      </c>
      <c r="E111" s="25" t="s">
        <v>388</v>
      </c>
      <c r="F111" s="25" t="str">
        <f t="shared" si="1"/>
        <v>message.cardfinancial.cashbackCurrencyCode</v>
      </c>
    </row>
    <row r="112" spans="1:6">
      <c r="A112" s="25" t="s">
        <v>497</v>
      </c>
      <c r="B112" s="25" t="s">
        <v>503</v>
      </c>
      <c r="C112" s="25" t="s">
        <v>413</v>
      </c>
      <c r="E112" s="25" t="s">
        <v>388</v>
      </c>
      <c r="F112" s="25" t="str">
        <f t="shared" si="1"/>
        <v>message.cardfinancial.authenticationDecisionScore</v>
      </c>
    </row>
    <row r="113" spans="1:6">
      <c r="A113" s="25" t="s">
        <v>497</v>
      </c>
      <c r="B113" s="25" t="s">
        <v>504</v>
      </c>
      <c r="C113" s="25" t="s">
        <v>387</v>
      </c>
      <c r="D113" s="32">
        <v>1</v>
      </c>
      <c r="E113" s="25" t="s">
        <v>388</v>
      </c>
      <c r="F113" s="25" t="str">
        <f t="shared" si="1"/>
        <v>message.cardfinancial.reversalInd</v>
      </c>
    </row>
    <row r="114" spans="1:6">
      <c r="A114" s="25" t="s">
        <v>497</v>
      </c>
      <c r="B114" s="25" t="s">
        <v>410</v>
      </c>
      <c r="C114" s="25" t="s">
        <v>387</v>
      </c>
      <c r="D114" s="32">
        <v>3</v>
      </c>
      <c r="E114" s="25" t="s">
        <v>388</v>
      </c>
      <c r="F114" s="25" t="str">
        <f t="shared" si="1"/>
        <v>message.cardfinancial.type</v>
      </c>
    </row>
    <row r="115" spans="1:6">
      <c r="A115" s="25" t="s">
        <v>497</v>
      </c>
      <c r="B115" s="25" t="s">
        <v>505</v>
      </c>
      <c r="C115" s="25" t="s">
        <v>387</v>
      </c>
      <c r="D115" s="32">
        <v>1</v>
      </c>
      <c r="E115" s="25" t="s">
        <v>388</v>
      </c>
      <c r="F115" s="25" t="str">
        <f t="shared" si="1"/>
        <v>message.cardfinancial.instantCreditInd</v>
      </c>
    </row>
    <row r="116" spans="1:6">
      <c r="A116" s="25" t="s">
        <v>497</v>
      </c>
      <c r="B116" s="25" t="s">
        <v>506</v>
      </c>
      <c r="C116" s="25" t="s">
        <v>387</v>
      </c>
      <c r="D116" s="32">
        <v>3</v>
      </c>
      <c r="E116" s="25" t="s">
        <v>388</v>
      </c>
      <c r="F116" s="25" t="str">
        <f t="shared" si="1"/>
        <v>message.cardfinancial.financialType</v>
      </c>
    </row>
    <row r="117" spans="1:6">
      <c r="A117" s="25" t="s">
        <v>497</v>
      </c>
      <c r="B117" s="25" t="s">
        <v>507</v>
      </c>
      <c r="C117" s="25" t="s">
        <v>387</v>
      </c>
      <c r="D117" s="32">
        <v>80</v>
      </c>
      <c r="E117" s="25" t="s">
        <v>388</v>
      </c>
      <c r="F117" s="25" t="str">
        <f t="shared" si="1"/>
        <v>message.cardfinancial.clientType</v>
      </c>
    </row>
    <row r="118" spans="1:6">
      <c r="A118" s="25" t="s">
        <v>497</v>
      </c>
      <c r="B118" s="25" t="s">
        <v>508</v>
      </c>
      <c r="C118" s="25" t="s">
        <v>418</v>
      </c>
      <c r="E118" s="25" t="s">
        <v>388</v>
      </c>
      <c r="F118" s="25" t="str">
        <f t="shared" si="1"/>
        <v>message.cardfinancial.cashbackAmt</v>
      </c>
    </row>
    <row r="119" spans="1:6">
      <c r="A119" s="25" t="s">
        <v>497</v>
      </c>
      <c r="B119" s="25" t="s">
        <v>509</v>
      </c>
      <c r="C119" s="25" t="s">
        <v>387</v>
      </c>
      <c r="D119" s="32">
        <v>1</v>
      </c>
      <c r="E119" s="25" t="s">
        <v>388</v>
      </c>
      <c r="F119" s="25" t="str">
        <f t="shared" si="1"/>
        <v>message.cardfinancial.standInInd</v>
      </c>
    </row>
    <row r="120" spans="1:6">
      <c r="A120" s="25" t="s">
        <v>497</v>
      </c>
      <c r="B120" s="25" t="s">
        <v>459</v>
      </c>
      <c r="C120" s="25" t="s">
        <v>413</v>
      </c>
      <c r="E120" s="25" t="s">
        <v>388</v>
      </c>
      <c r="F120" s="25" t="str">
        <f t="shared" si="1"/>
        <v>message.cardfinancial.currency</v>
      </c>
    </row>
    <row r="121" spans="1:6">
      <c r="A121" s="25" t="s">
        <v>497</v>
      </c>
      <c r="B121" s="25" t="s">
        <v>451</v>
      </c>
      <c r="C121" s="25" t="s">
        <v>418</v>
      </c>
      <c r="E121" s="25" t="s">
        <v>388</v>
      </c>
      <c r="F121" s="25" t="str">
        <f t="shared" si="1"/>
        <v>message.cardfinancial.amount</v>
      </c>
    </row>
    <row r="122" spans="1:6">
      <c r="A122" s="25" t="s">
        <v>497</v>
      </c>
      <c r="B122" s="25" t="s">
        <v>510</v>
      </c>
      <c r="C122" s="25" t="s">
        <v>387</v>
      </c>
      <c r="D122" s="32">
        <v>1</v>
      </c>
      <c r="E122" s="25" t="s">
        <v>388</v>
      </c>
      <c r="F122" s="25" t="str">
        <f t="shared" si="1"/>
        <v>message.cardfinancial.terminalPanEntryInd</v>
      </c>
    </row>
    <row r="123" spans="1:6">
      <c r="A123" s="25" t="s">
        <v>497</v>
      </c>
      <c r="B123" s="25" t="s">
        <v>511</v>
      </c>
      <c r="C123" s="25" t="s">
        <v>413</v>
      </c>
      <c r="E123" s="25" t="s">
        <v>388</v>
      </c>
      <c r="F123" s="25" t="str">
        <f t="shared" si="1"/>
        <v>message.cardfinancial.authorizationDecisionScore</v>
      </c>
    </row>
    <row r="124" spans="1:6">
      <c r="A124" s="25" t="s">
        <v>497</v>
      </c>
      <c r="B124" s="25" t="s">
        <v>512</v>
      </c>
      <c r="C124" s="25" t="s">
        <v>387</v>
      </c>
      <c r="D124" s="32">
        <v>1</v>
      </c>
      <c r="E124" s="25" t="s">
        <v>388</v>
      </c>
      <c r="F124" s="25" t="str">
        <f t="shared" si="1"/>
        <v>message.cardfinancial.customerPresentInd</v>
      </c>
    </row>
    <row r="125" spans="1:6">
      <c r="A125" s="25" t="s">
        <v>497</v>
      </c>
      <c r="B125" s="25" t="s">
        <v>513</v>
      </c>
      <c r="C125" s="25" t="s">
        <v>413</v>
      </c>
      <c r="E125" s="25" t="s">
        <v>388</v>
      </c>
      <c r="F125" s="25" t="str">
        <f t="shared" si="1"/>
        <v>message.cardfinancial.authorizationDecision</v>
      </c>
    </row>
    <row r="126" spans="1:6">
      <c r="A126" s="25" t="s">
        <v>497</v>
      </c>
      <c r="B126" s="25" t="s">
        <v>514</v>
      </c>
      <c r="C126" s="25" t="s">
        <v>387</v>
      </c>
      <c r="D126" s="32">
        <v>1</v>
      </c>
      <c r="E126" s="25" t="s">
        <v>388</v>
      </c>
      <c r="F126" s="25" t="str">
        <f t="shared" si="1"/>
        <v>message.cardfinancial.terminalPinEntryInd</v>
      </c>
    </row>
    <row r="127" spans="1:6">
      <c r="A127" s="25" t="s">
        <v>497</v>
      </c>
      <c r="B127" s="25" t="s">
        <v>448</v>
      </c>
      <c r="C127" s="25" t="s">
        <v>387</v>
      </c>
      <c r="D127" s="32">
        <v>3</v>
      </c>
      <c r="E127" s="25" t="s">
        <v>388</v>
      </c>
      <c r="F127" s="25" t="str">
        <f t="shared" si="1"/>
        <v>message.cardfinancial.currencyCode</v>
      </c>
    </row>
    <row r="128" spans="1:6">
      <c r="A128" s="25" t="s">
        <v>497</v>
      </c>
      <c r="B128" s="25" t="s">
        <v>515</v>
      </c>
      <c r="C128" s="25" t="s">
        <v>387</v>
      </c>
      <c r="D128" s="32">
        <v>100</v>
      </c>
      <c r="E128" s="25" t="s">
        <v>388</v>
      </c>
      <c r="F128" s="25" t="str">
        <f t="shared" si="1"/>
        <v>message.cardfinancial.typeDesc</v>
      </c>
    </row>
    <row r="129" spans="1:6">
      <c r="A129" s="25" t="s">
        <v>516</v>
      </c>
      <c r="B129" s="25" t="s">
        <v>419</v>
      </c>
      <c r="C129" s="25" t="s">
        <v>387</v>
      </c>
      <c r="D129" s="32">
        <v>20</v>
      </c>
      <c r="E129" s="25" t="s">
        <v>388</v>
      </c>
      <c r="F129" s="25" t="str">
        <f t="shared" si="1"/>
        <v>message.company.identifierDesc</v>
      </c>
    </row>
    <row r="130" spans="1:6">
      <c r="A130" s="25" t="s">
        <v>516</v>
      </c>
      <c r="B130" s="25" t="s">
        <v>517</v>
      </c>
      <c r="C130" s="25" t="s">
        <v>396</v>
      </c>
      <c r="E130" s="25" t="s">
        <v>388</v>
      </c>
      <c r="F130" s="25" t="str">
        <f t="shared" ref="F130:F193" si="2">CONCATENATE("message.",A130,".",B130)</f>
        <v>message.company.joinDt</v>
      </c>
    </row>
    <row r="131" spans="1:6">
      <c r="A131" s="25" t="s">
        <v>516</v>
      </c>
      <c r="B131" s="25" t="s">
        <v>518</v>
      </c>
      <c r="C131" s="25" t="s">
        <v>396</v>
      </c>
      <c r="E131" s="25" t="s">
        <v>388</v>
      </c>
      <c r="F131" s="25" t="str">
        <f t="shared" si="2"/>
        <v>message.company.addressLastChangeDt</v>
      </c>
    </row>
    <row r="132" spans="1:6">
      <c r="A132" s="25" t="s">
        <v>516</v>
      </c>
      <c r="B132" s="25" t="s">
        <v>519</v>
      </c>
      <c r="C132" s="25" t="s">
        <v>387</v>
      </c>
      <c r="D132" s="32">
        <v>100</v>
      </c>
      <c r="E132" s="25" t="s">
        <v>388</v>
      </c>
      <c r="F132" s="25" t="str">
        <f t="shared" si="2"/>
        <v>message.company.email</v>
      </c>
    </row>
    <row r="133" spans="1:6">
      <c r="A133" s="25" t="s">
        <v>516</v>
      </c>
      <c r="B133" s="25" t="s">
        <v>520</v>
      </c>
      <c r="C133" s="25" t="s">
        <v>387</v>
      </c>
      <c r="D133" s="32">
        <v>50</v>
      </c>
      <c r="E133" s="25" t="s">
        <v>388</v>
      </c>
      <c r="F133" s="25" t="str">
        <f t="shared" si="2"/>
        <v>message.company.addressCity</v>
      </c>
    </row>
    <row r="134" spans="1:6">
      <c r="A134" s="25" t="s">
        <v>516</v>
      </c>
      <c r="B134" s="25" t="s">
        <v>521</v>
      </c>
      <c r="C134" s="25" t="s">
        <v>387</v>
      </c>
      <c r="D134" s="32">
        <v>20</v>
      </c>
      <c r="E134" s="25" t="s">
        <v>388</v>
      </c>
      <c r="F134" s="25" t="str">
        <f t="shared" si="2"/>
        <v>message.company.officePhone</v>
      </c>
    </row>
    <row r="135" spans="1:6">
      <c r="A135" s="25" t="s">
        <v>516</v>
      </c>
      <c r="B135" s="25" t="s">
        <v>407</v>
      </c>
      <c r="C135" s="25" t="s">
        <v>387</v>
      </c>
      <c r="D135" s="32">
        <v>100</v>
      </c>
      <c r="E135" s="25" t="s">
        <v>388</v>
      </c>
      <c r="F135" s="25" t="str">
        <f t="shared" si="2"/>
        <v>message.company.name</v>
      </c>
    </row>
    <row r="136" spans="1:6">
      <c r="A136" s="25" t="s">
        <v>516</v>
      </c>
      <c r="B136" s="25" t="s">
        <v>410</v>
      </c>
      <c r="C136" s="25" t="s">
        <v>387</v>
      </c>
      <c r="D136" s="32">
        <v>3</v>
      </c>
      <c r="E136" s="25" t="s">
        <v>388</v>
      </c>
      <c r="F136" s="25" t="str">
        <f t="shared" si="2"/>
        <v>message.company.type</v>
      </c>
    </row>
    <row r="137" spans="1:6">
      <c r="A137" s="25" t="s">
        <v>516</v>
      </c>
      <c r="B137" s="25" t="s">
        <v>522</v>
      </c>
      <c r="C137" s="25" t="s">
        <v>396</v>
      </c>
      <c r="E137" s="25" t="s">
        <v>388</v>
      </c>
      <c r="F137" s="25" t="str">
        <f t="shared" si="2"/>
        <v>message.company.emailLastChangeDt</v>
      </c>
    </row>
    <row r="138" spans="1:6">
      <c r="A138" s="25" t="s">
        <v>516</v>
      </c>
      <c r="B138" s="25" t="s">
        <v>523</v>
      </c>
      <c r="C138" s="25" t="s">
        <v>387</v>
      </c>
      <c r="D138" s="32">
        <v>3</v>
      </c>
      <c r="E138" s="25" t="s">
        <v>388</v>
      </c>
      <c r="F138" s="25" t="str">
        <f t="shared" si="2"/>
        <v>message.company.addressCountry</v>
      </c>
    </row>
    <row r="139" spans="1:6">
      <c r="A139" s="25" t="s">
        <v>516</v>
      </c>
      <c r="B139" s="25" t="s">
        <v>524</v>
      </c>
      <c r="C139" s="25" t="s">
        <v>396</v>
      </c>
      <c r="E139" s="25" t="s">
        <v>388</v>
      </c>
      <c r="F139" s="25" t="str">
        <f t="shared" si="2"/>
        <v>message.company.officePhoneLastChangeDt</v>
      </c>
    </row>
    <row r="140" spans="1:6">
      <c r="A140" s="25" t="s">
        <v>516</v>
      </c>
      <c r="B140" s="25" t="s">
        <v>525</v>
      </c>
      <c r="C140" s="25" t="s">
        <v>387</v>
      </c>
      <c r="D140" s="32">
        <v>15</v>
      </c>
      <c r="E140" s="25" t="s">
        <v>388</v>
      </c>
      <c r="F140" s="25" t="str">
        <f t="shared" si="2"/>
        <v>message.company.addressPostcode</v>
      </c>
    </row>
    <row r="141" spans="1:6">
      <c r="A141" s="25" t="s">
        <v>516</v>
      </c>
      <c r="B141" s="25" t="s">
        <v>422</v>
      </c>
      <c r="C141" s="25" t="s">
        <v>387</v>
      </c>
      <c r="D141" s="32">
        <v>100</v>
      </c>
      <c r="E141" s="25" t="s">
        <v>388</v>
      </c>
      <c r="F141" s="25" t="str">
        <f t="shared" si="2"/>
        <v>message.company.identifier</v>
      </c>
    </row>
    <row r="142" spans="1:6">
      <c r="A142" s="25" t="s">
        <v>516</v>
      </c>
      <c r="B142" s="25" t="s">
        <v>526</v>
      </c>
      <c r="C142" s="25" t="s">
        <v>396</v>
      </c>
      <c r="E142" s="25" t="s">
        <v>388</v>
      </c>
      <c r="F142" s="25" t="str">
        <f t="shared" si="2"/>
        <v>message.company.registrationDt</v>
      </c>
    </row>
    <row r="143" spans="1:6">
      <c r="A143" s="25" t="s">
        <v>516</v>
      </c>
      <c r="B143" s="25" t="s">
        <v>527</v>
      </c>
      <c r="C143" s="25" t="s">
        <v>387</v>
      </c>
      <c r="D143" s="32">
        <v>3</v>
      </c>
      <c r="E143" s="25" t="s">
        <v>388</v>
      </c>
      <c r="F143" s="25" t="str">
        <f t="shared" si="2"/>
        <v>message.company.addressCountryCode</v>
      </c>
    </row>
    <row r="144" spans="1:6">
      <c r="A144" s="25" t="s">
        <v>516</v>
      </c>
      <c r="B144" s="25" t="s">
        <v>528</v>
      </c>
      <c r="C144" s="25" t="s">
        <v>387</v>
      </c>
      <c r="D144" s="32">
        <v>100</v>
      </c>
      <c r="E144" s="25" t="s">
        <v>388</v>
      </c>
      <c r="F144" s="25" t="str">
        <f t="shared" si="2"/>
        <v>message.company.address</v>
      </c>
    </row>
    <row r="145" spans="1:6">
      <c r="A145" s="25" t="s">
        <v>529</v>
      </c>
      <c r="B145" s="25" t="s">
        <v>530</v>
      </c>
      <c r="C145" s="25" t="s">
        <v>413</v>
      </c>
      <c r="E145" s="25" t="s">
        <v>388</v>
      </c>
      <c r="F145" s="25" t="str">
        <f t="shared" si="2"/>
        <v>message.creditaccount.delinquencyDays</v>
      </c>
    </row>
    <row r="146" spans="1:6">
      <c r="A146" s="25" t="s">
        <v>529</v>
      </c>
      <c r="B146" s="25" t="s">
        <v>531</v>
      </c>
      <c r="C146" s="25" t="s">
        <v>387</v>
      </c>
      <c r="D146" s="32">
        <v>3</v>
      </c>
      <c r="E146" s="25" t="s">
        <v>388</v>
      </c>
      <c r="F146" s="25" t="str">
        <f t="shared" si="2"/>
        <v>message.creditaccount.country</v>
      </c>
    </row>
    <row r="147" spans="1:6">
      <c r="A147" s="25" t="s">
        <v>529</v>
      </c>
      <c r="B147" s="25" t="s">
        <v>532</v>
      </c>
      <c r="C147" s="25" t="s">
        <v>387</v>
      </c>
      <c r="D147" s="32">
        <v>3</v>
      </c>
      <c r="E147" s="25" t="s">
        <v>388</v>
      </c>
      <c r="F147" s="25" t="str">
        <f t="shared" si="2"/>
        <v>message.creditaccount.repaymentSchedule</v>
      </c>
    </row>
    <row r="148" spans="1:6">
      <c r="A148" s="25" t="s">
        <v>529</v>
      </c>
      <c r="B148" s="25" t="s">
        <v>533</v>
      </c>
      <c r="C148" s="25" t="s">
        <v>387</v>
      </c>
      <c r="D148" s="32">
        <v>3</v>
      </c>
      <c r="E148" s="25" t="s">
        <v>388</v>
      </c>
      <c r="F148" s="25" t="str">
        <f t="shared" si="2"/>
        <v>message.creditaccount.countryCode</v>
      </c>
    </row>
    <row r="149" spans="1:6">
      <c r="A149" s="25" t="s">
        <v>529</v>
      </c>
      <c r="B149" s="25" t="s">
        <v>534</v>
      </c>
      <c r="C149" s="25" t="s">
        <v>387</v>
      </c>
      <c r="D149" s="32">
        <v>15</v>
      </c>
      <c r="E149" s="25" t="s">
        <v>388</v>
      </c>
      <c r="F149" s="25" t="str">
        <f t="shared" si="2"/>
        <v>message.creditaccount.businessIdentifierCode</v>
      </c>
    </row>
    <row r="150" spans="1:6">
      <c r="A150" s="25" t="s">
        <v>529</v>
      </c>
      <c r="B150" s="25" t="s">
        <v>535</v>
      </c>
      <c r="C150" s="25" t="s">
        <v>387</v>
      </c>
      <c r="D150" s="32">
        <v>15</v>
      </c>
      <c r="E150" s="25" t="s">
        <v>388</v>
      </c>
      <c r="F150" s="25" t="str">
        <f t="shared" si="2"/>
        <v>message.creditaccount.postcode</v>
      </c>
    </row>
    <row r="151" spans="1:6">
      <c r="A151" s="25" t="s">
        <v>529</v>
      </c>
      <c r="B151" s="25" t="s">
        <v>536</v>
      </c>
      <c r="C151" s="25" t="s">
        <v>418</v>
      </c>
      <c r="E151" s="25" t="s">
        <v>388</v>
      </c>
      <c r="F151" s="25" t="str">
        <f t="shared" si="2"/>
        <v>message.creditaccount.balanceAlternate</v>
      </c>
    </row>
    <row r="152" spans="1:6">
      <c r="A152" s="25" t="s">
        <v>529</v>
      </c>
      <c r="B152" s="25" t="s">
        <v>537</v>
      </c>
      <c r="C152" s="25" t="s">
        <v>387</v>
      </c>
      <c r="D152" s="32">
        <v>36</v>
      </c>
      <c r="E152" s="25" t="s">
        <v>388</v>
      </c>
      <c r="F152" s="25" t="str">
        <f t="shared" si="2"/>
        <v>message.creditaccount.city</v>
      </c>
    </row>
    <row r="153" spans="1:6">
      <c r="A153" s="25" t="s">
        <v>529</v>
      </c>
      <c r="B153" s="25" t="s">
        <v>538</v>
      </c>
      <c r="C153" s="25" t="s">
        <v>418</v>
      </c>
      <c r="E153" s="25" t="s">
        <v>388</v>
      </c>
      <c r="F153" s="25" t="str">
        <f t="shared" si="2"/>
        <v>message.creditaccount.openBalance</v>
      </c>
    </row>
    <row r="154" spans="1:6">
      <c r="A154" s="25" t="s">
        <v>529</v>
      </c>
      <c r="B154" s="25" t="s">
        <v>539</v>
      </c>
      <c r="C154" s="25" t="s">
        <v>387</v>
      </c>
      <c r="D154" s="32">
        <v>36</v>
      </c>
      <c r="E154" s="25" t="s">
        <v>388</v>
      </c>
      <c r="F154" s="25" t="str">
        <f t="shared" si="2"/>
        <v>message.creditaccount.state</v>
      </c>
    </row>
    <row r="155" spans="1:6">
      <c r="A155" s="25" t="s">
        <v>529</v>
      </c>
      <c r="B155" s="25" t="s">
        <v>540</v>
      </c>
      <c r="C155" s="25" t="s">
        <v>418</v>
      </c>
      <c r="E155" s="25" t="s">
        <v>388</v>
      </c>
      <c r="F155" s="25" t="str">
        <f t="shared" si="2"/>
        <v>message.creditaccount.overdraftLimit</v>
      </c>
    </row>
    <row r="156" spans="1:6">
      <c r="A156" s="25" t="s">
        <v>529</v>
      </c>
      <c r="B156" s="25" t="s">
        <v>541</v>
      </c>
      <c r="C156" s="25" t="s">
        <v>387</v>
      </c>
      <c r="D156" s="32">
        <v>15</v>
      </c>
      <c r="E156" s="25" t="s">
        <v>388</v>
      </c>
      <c r="F156" s="25" t="str">
        <f t="shared" si="2"/>
        <v>message.creditaccount.swiftCode</v>
      </c>
    </row>
    <row r="157" spans="1:6">
      <c r="A157" s="25" t="s">
        <v>529</v>
      </c>
      <c r="B157" s="25" t="s">
        <v>542</v>
      </c>
      <c r="C157" s="25" t="s">
        <v>418</v>
      </c>
      <c r="E157" s="25" t="s">
        <v>388</v>
      </c>
      <c r="F157" s="25" t="str">
        <f t="shared" si="2"/>
        <v>message.creditaccount.repaymentAmount</v>
      </c>
    </row>
    <row r="158" spans="1:6">
      <c r="A158" s="25" t="s">
        <v>529</v>
      </c>
      <c r="B158" s="25" t="s">
        <v>543</v>
      </c>
      <c r="C158" s="25" t="s">
        <v>387</v>
      </c>
      <c r="D158" s="32">
        <v>20</v>
      </c>
      <c r="E158" s="25" t="s">
        <v>388</v>
      </c>
      <c r="F158" s="25" t="str">
        <f t="shared" si="2"/>
        <v>message.creditaccount.bankType</v>
      </c>
    </row>
    <row r="159" spans="1:6">
      <c r="A159" s="25" t="s">
        <v>529</v>
      </c>
      <c r="B159" s="25" t="s">
        <v>448</v>
      </c>
      <c r="C159" s="25" t="s">
        <v>387</v>
      </c>
      <c r="D159" s="32">
        <v>3</v>
      </c>
      <c r="E159" s="25" t="s">
        <v>388</v>
      </c>
      <c r="F159" s="25" t="str">
        <f t="shared" si="2"/>
        <v>message.creditaccount.currencyCode</v>
      </c>
    </row>
    <row r="160" spans="1:6">
      <c r="A160" s="25" t="s">
        <v>529</v>
      </c>
      <c r="B160" s="25" t="s">
        <v>544</v>
      </c>
      <c r="C160" s="25" t="s">
        <v>387</v>
      </c>
      <c r="D160" s="32">
        <v>100</v>
      </c>
      <c r="E160" s="25" t="s">
        <v>388</v>
      </c>
      <c r="F160" s="25" t="str">
        <f t="shared" si="2"/>
        <v>message.creditaccount.number</v>
      </c>
    </row>
    <row r="161" spans="1:6">
      <c r="A161" s="25" t="s">
        <v>529</v>
      </c>
      <c r="B161" s="25" t="s">
        <v>545</v>
      </c>
      <c r="C161" s="25" t="s">
        <v>424</v>
      </c>
      <c r="E161" s="25" t="s">
        <v>388</v>
      </c>
      <c r="F161" s="25" t="str">
        <f t="shared" si="2"/>
        <v>message.creditaccount.selfBankFlg</v>
      </c>
    </row>
    <row r="162" spans="1:6">
      <c r="A162" s="25" t="s">
        <v>529</v>
      </c>
      <c r="B162" s="25" t="s">
        <v>410</v>
      </c>
      <c r="C162" s="25" t="s">
        <v>387</v>
      </c>
      <c r="D162" s="32">
        <v>3</v>
      </c>
      <c r="E162" s="25" t="s">
        <v>388</v>
      </c>
      <c r="F162" s="25" t="str">
        <f t="shared" si="2"/>
        <v>message.creditaccount.type</v>
      </c>
    </row>
    <row r="163" spans="1:6">
      <c r="A163" s="25" t="s">
        <v>529</v>
      </c>
      <c r="B163" s="25" t="s">
        <v>459</v>
      </c>
      <c r="C163" s="25" t="s">
        <v>387</v>
      </c>
      <c r="D163" s="32">
        <v>3</v>
      </c>
      <c r="E163" s="25" t="s">
        <v>388</v>
      </c>
      <c r="F163" s="25" t="str">
        <f t="shared" si="2"/>
        <v>message.creditaccount.currency</v>
      </c>
    </row>
    <row r="164" spans="1:6">
      <c r="A164" s="25" t="s">
        <v>529</v>
      </c>
      <c r="B164" s="25" t="s">
        <v>546</v>
      </c>
      <c r="C164" s="25" t="s">
        <v>387</v>
      </c>
      <c r="D164" s="32">
        <v>10</v>
      </c>
      <c r="E164" s="25" t="s">
        <v>388</v>
      </c>
      <c r="F164" s="25" t="str">
        <f t="shared" si="2"/>
        <v>message.creditaccount.sortcode</v>
      </c>
    </row>
    <row r="165" spans="1:6">
      <c r="A165" s="25" t="s">
        <v>529</v>
      </c>
      <c r="B165" s="25" t="s">
        <v>547</v>
      </c>
      <c r="C165" s="25" t="s">
        <v>387</v>
      </c>
      <c r="D165" s="32">
        <v>3</v>
      </c>
      <c r="E165" s="25" t="s">
        <v>388</v>
      </c>
      <c r="F165" s="25" t="str">
        <f t="shared" si="2"/>
        <v>message.creditaccount.spendLimitType</v>
      </c>
    </row>
    <row r="166" spans="1:6">
      <c r="A166" s="25" t="s">
        <v>529</v>
      </c>
      <c r="B166" s="25" t="s">
        <v>548</v>
      </c>
      <c r="C166" s="25" t="s">
        <v>387</v>
      </c>
      <c r="D166" s="32">
        <v>50</v>
      </c>
      <c r="E166" s="25" t="s">
        <v>388</v>
      </c>
      <c r="F166" s="25" t="str">
        <f t="shared" si="2"/>
        <v>message.creditaccount.bankName</v>
      </c>
    </row>
    <row r="167" spans="1:6">
      <c r="A167" s="25" t="s">
        <v>529</v>
      </c>
      <c r="B167" s="25" t="s">
        <v>549</v>
      </c>
      <c r="C167" s="25" t="s">
        <v>387</v>
      </c>
      <c r="D167" s="32">
        <v>2</v>
      </c>
      <c r="E167" s="25" t="s">
        <v>388</v>
      </c>
      <c r="F167" s="25" t="str">
        <f t="shared" si="2"/>
        <v>message.creditaccount.balanceType</v>
      </c>
    </row>
    <row r="168" spans="1:6">
      <c r="A168" s="25" t="s">
        <v>529</v>
      </c>
      <c r="B168" s="25" t="s">
        <v>550</v>
      </c>
      <c r="C168" s="25" t="s">
        <v>418</v>
      </c>
      <c r="E168" s="25" t="s">
        <v>388</v>
      </c>
      <c r="F168" s="25" t="str">
        <f t="shared" si="2"/>
        <v>message.creditaccount.spendLimit</v>
      </c>
    </row>
    <row r="169" spans="1:6">
      <c r="A169" s="25" t="s">
        <v>529</v>
      </c>
      <c r="B169" s="25" t="s">
        <v>551</v>
      </c>
      <c r="C169" s="25" t="s">
        <v>387</v>
      </c>
      <c r="D169" s="32">
        <v>2</v>
      </c>
      <c r="E169" s="25" t="s">
        <v>388</v>
      </c>
      <c r="F169" s="25" t="str">
        <f t="shared" si="2"/>
        <v>message.creditaccount.balanceAlternateType</v>
      </c>
    </row>
    <row r="170" spans="1:6">
      <c r="A170" s="25" t="s">
        <v>529</v>
      </c>
      <c r="B170" s="25" t="s">
        <v>440</v>
      </c>
      <c r="C170" s="25" t="s">
        <v>396</v>
      </c>
      <c r="E170" s="25" t="s">
        <v>388</v>
      </c>
      <c r="F170" s="25" t="str">
        <f t="shared" si="2"/>
        <v>message.creditaccount.openDt</v>
      </c>
    </row>
    <row r="171" spans="1:6">
      <c r="A171" s="25" t="s">
        <v>529</v>
      </c>
      <c r="B171" s="25" t="s">
        <v>552</v>
      </c>
      <c r="C171" s="25" t="s">
        <v>387</v>
      </c>
      <c r="D171" s="32">
        <v>3</v>
      </c>
      <c r="E171" s="25" t="s">
        <v>388</v>
      </c>
      <c r="F171" s="25" t="str">
        <f t="shared" si="2"/>
        <v>message.creditaccount.delinquencyStatus</v>
      </c>
    </row>
    <row r="172" spans="1:6">
      <c r="A172" s="25" t="s">
        <v>529</v>
      </c>
      <c r="B172" s="25" t="s">
        <v>553</v>
      </c>
      <c r="C172" s="25" t="s">
        <v>387</v>
      </c>
      <c r="D172" s="32">
        <v>50</v>
      </c>
      <c r="E172" s="25" t="s">
        <v>388</v>
      </c>
      <c r="F172" s="25" t="str">
        <f t="shared" si="2"/>
        <v>message.creditaccount.iban</v>
      </c>
    </row>
    <row r="173" spans="1:6">
      <c r="A173" s="25" t="s">
        <v>529</v>
      </c>
      <c r="B173" s="25" t="s">
        <v>554</v>
      </c>
      <c r="C173" s="25" t="s">
        <v>418</v>
      </c>
      <c r="E173" s="25" t="s">
        <v>388</v>
      </c>
      <c r="F173" s="25" t="str">
        <f t="shared" si="2"/>
        <v>message.creditaccount.balance</v>
      </c>
    </row>
    <row r="174" spans="1:6">
      <c r="A174" s="25" t="s">
        <v>529</v>
      </c>
      <c r="B174" s="25" t="s">
        <v>555</v>
      </c>
      <c r="C174" s="25" t="s">
        <v>418</v>
      </c>
      <c r="E174" s="25" t="s">
        <v>388</v>
      </c>
      <c r="F174" s="25" t="str">
        <f t="shared" si="2"/>
        <v>message.creditaccount.availableBalance</v>
      </c>
    </row>
    <row r="175" spans="1:6">
      <c r="A175" s="25" t="s">
        <v>529</v>
      </c>
      <c r="B175" s="25" t="s">
        <v>556</v>
      </c>
      <c r="C175" s="25" t="s">
        <v>387</v>
      </c>
      <c r="D175" s="32">
        <v>15</v>
      </c>
      <c r="E175" s="25" t="s">
        <v>388</v>
      </c>
      <c r="F175" s="25" t="str">
        <f t="shared" si="2"/>
        <v>message.creditaccount.branchIdentifier</v>
      </c>
    </row>
    <row r="176" spans="1:6">
      <c r="A176" s="25" t="s">
        <v>529</v>
      </c>
      <c r="B176" s="25" t="s">
        <v>557</v>
      </c>
      <c r="C176" s="25" t="s">
        <v>387</v>
      </c>
      <c r="D176" s="32">
        <v>20</v>
      </c>
      <c r="E176" s="25" t="s">
        <v>388</v>
      </c>
      <c r="F176" s="25" t="str">
        <f t="shared" si="2"/>
        <v>message.creditaccount.desc</v>
      </c>
    </row>
    <row r="177" spans="1:6">
      <c r="A177" s="25" t="s">
        <v>558</v>
      </c>
      <c r="B177" s="25" t="s">
        <v>559</v>
      </c>
      <c r="C177" s="25" t="s">
        <v>387</v>
      </c>
      <c r="D177" s="32">
        <v>80</v>
      </c>
      <c r="E177" s="25" t="s">
        <v>388</v>
      </c>
      <c r="F177" s="25" t="str">
        <f t="shared" si="2"/>
        <v>message.creditcard.securityCodePfToken</v>
      </c>
    </row>
    <row r="178" spans="1:6">
      <c r="A178" s="25" t="s">
        <v>558</v>
      </c>
      <c r="B178" s="25" t="s">
        <v>560</v>
      </c>
      <c r="C178" s="25" t="s">
        <v>387</v>
      </c>
      <c r="D178" s="32">
        <v>15</v>
      </c>
      <c r="E178" s="25" t="s">
        <v>388</v>
      </c>
      <c r="F178" s="25" t="str">
        <f t="shared" si="2"/>
        <v>message.creditcard.cardholderPostcode</v>
      </c>
    </row>
    <row r="179" spans="1:6">
      <c r="A179" s="25" t="s">
        <v>558</v>
      </c>
      <c r="B179" s="25" t="s">
        <v>561</v>
      </c>
      <c r="C179" s="25" t="s">
        <v>387</v>
      </c>
      <c r="D179" s="32">
        <v>32</v>
      </c>
      <c r="E179" s="25" t="s">
        <v>388</v>
      </c>
      <c r="F179" s="25" t="str">
        <f t="shared" si="2"/>
        <v>message.creditcard.marker</v>
      </c>
    </row>
    <row r="180" spans="1:6">
      <c r="A180" s="25" t="s">
        <v>558</v>
      </c>
      <c r="B180" s="25" t="s">
        <v>562</v>
      </c>
      <c r="C180" s="25" t="s">
        <v>387</v>
      </c>
      <c r="D180" s="32">
        <v>3</v>
      </c>
      <c r="E180" s="25" t="s">
        <v>388</v>
      </c>
      <c r="F180" s="25" t="str">
        <f t="shared" si="2"/>
        <v>message.creditcard.issuingCountryCode</v>
      </c>
    </row>
    <row r="181" spans="1:6">
      <c r="A181" s="25" t="s">
        <v>558</v>
      </c>
      <c r="B181" s="25" t="s">
        <v>563</v>
      </c>
      <c r="C181" s="25" t="s">
        <v>387</v>
      </c>
      <c r="D181" s="32">
        <v>10</v>
      </c>
      <c r="E181" s="25" t="s">
        <v>388</v>
      </c>
      <c r="F181" s="25" t="str">
        <f t="shared" si="2"/>
        <v>message.creditcard.whichCard</v>
      </c>
    </row>
    <row r="182" spans="1:6">
      <c r="A182" s="25" t="s">
        <v>558</v>
      </c>
      <c r="B182" s="25" t="s">
        <v>550</v>
      </c>
      <c r="C182" s="25" t="s">
        <v>418</v>
      </c>
      <c r="E182" s="25" t="s">
        <v>388</v>
      </c>
      <c r="F182" s="25" t="str">
        <f t="shared" si="2"/>
        <v>message.creditcard.spendLimit</v>
      </c>
    </row>
    <row r="183" spans="1:6">
      <c r="A183" s="25" t="s">
        <v>558</v>
      </c>
      <c r="B183" s="25" t="s">
        <v>564</v>
      </c>
      <c r="C183" s="25" t="s">
        <v>387</v>
      </c>
      <c r="D183" s="32">
        <v>2</v>
      </c>
      <c r="E183" s="25" t="s">
        <v>388</v>
      </c>
      <c r="F183" s="25" t="str">
        <f t="shared" si="2"/>
        <v>message.creditcard.expirationMonth</v>
      </c>
    </row>
    <row r="184" spans="1:6">
      <c r="A184" s="25" t="s">
        <v>558</v>
      </c>
      <c r="B184" s="25" t="s">
        <v>565</v>
      </c>
      <c r="C184" s="25" t="s">
        <v>396</v>
      </c>
      <c r="E184" s="25" t="s">
        <v>388</v>
      </c>
      <c r="F184" s="25" t="str">
        <f t="shared" si="2"/>
        <v>message.creditcard.lastLimitChangeDt</v>
      </c>
    </row>
    <row r="185" spans="1:6">
      <c r="A185" s="25" t="s">
        <v>558</v>
      </c>
      <c r="B185" s="25" t="s">
        <v>440</v>
      </c>
      <c r="C185" s="25" t="s">
        <v>396</v>
      </c>
      <c r="E185" s="25" t="s">
        <v>388</v>
      </c>
      <c r="F185" s="25" t="str">
        <f t="shared" si="2"/>
        <v>message.creditcard.openDt</v>
      </c>
    </row>
    <row r="186" spans="1:6">
      <c r="A186" s="25" t="s">
        <v>558</v>
      </c>
      <c r="B186" s="25" t="s">
        <v>566</v>
      </c>
      <c r="C186" s="25" t="s">
        <v>387</v>
      </c>
      <c r="D186" s="32">
        <v>3</v>
      </c>
      <c r="E186" s="25" t="s">
        <v>388</v>
      </c>
      <c r="F186" s="25" t="str">
        <f t="shared" si="2"/>
        <v>message.creditcard.cardholderCountry</v>
      </c>
    </row>
    <row r="187" spans="1:6">
      <c r="A187" s="25" t="s">
        <v>558</v>
      </c>
      <c r="B187" s="25" t="s">
        <v>421</v>
      </c>
      <c r="C187" s="25" t="s">
        <v>387</v>
      </c>
      <c r="D187" s="32">
        <v>80</v>
      </c>
      <c r="E187" s="25" t="s">
        <v>388</v>
      </c>
      <c r="F187" s="25" t="str">
        <f t="shared" si="2"/>
        <v>message.creditcard.category</v>
      </c>
    </row>
    <row r="188" spans="1:6">
      <c r="A188" s="25" t="s">
        <v>558</v>
      </c>
      <c r="B188" s="25" t="s">
        <v>567</v>
      </c>
      <c r="C188" s="25" t="s">
        <v>418</v>
      </c>
      <c r="E188" s="25" t="s">
        <v>388</v>
      </c>
      <c r="F188" s="25" t="str">
        <f t="shared" si="2"/>
        <v>message.creditcard.limit</v>
      </c>
    </row>
    <row r="189" spans="1:6">
      <c r="A189" s="25" t="s">
        <v>558</v>
      </c>
      <c r="B189" s="25" t="s">
        <v>547</v>
      </c>
      <c r="C189" s="25" t="s">
        <v>387</v>
      </c>
      <c r="D189" s="32">
        <v>3</v>
      </c>
      <c r="E189" s="25" t="s">
        <v>388</v>
      </c>
      <c r="F189" s="25" t="str">
        <f t="shared" si="2"/>
        <v>message.creditcard.spendLimitType</v>
      </c>
    </row>
    <row r="190" spans="1:6">
      <c r="A190" s="25" t="s">
        <v>558</v>
      </c>
      <c r="B190" s="25" t="s">
        <v>568</v>
      </c>
      <c r="C190" s="25" t="s">
        <v>413</v>
      </c>
      <c r="E190" s="25" t="s">
        <v>388</v>
      </c>
      <c r="F190" s="25" t="str">
        <f t="shared" si="2"/>
        <v>message.creditcard.invalidPinTries</v>
      </c>
    </row>
    <row r="191" spans="1:6">
      <c r="A191" s="25" t="s">
        <v>558</v>
      </c>
      <c r="B191" s="25" t="s">
        <v>569</v>
      </c>
      <c r="C191" s="25" t="s">
        <v>387</v>
      </c>
      <c r="D191" s="32">
        <v>10</v>
      </c>
      <c r="E191" s="25" t="s">
        <v>388</v>
      </c>
      <c r="F191" s="25" t="str">
        <f t="shared" si="2"/>
        <v>message.creditcard.cardPurpose</v>
      </c>
    </row>
    <row r="192" spans="1:6">
      <c r="A192" s="25" t="s">
        <v>558</v>
      </c>
      <c r="B192" s="25" t="s">
        <v>570</v>
      </c>
      <c r="C192" s="25" t="s">
        <v>387</v>
      </c>
      <c r="D192" s="32">
        <v>1</v>
      </c>
      <c r="E192" s="25" t="s">
        <v>388</v>
      </c>
      <c r="F192" s="25" t="str">
        <f t="shared" si="2"/>
        <v>message.creditcard.statusInd</v>
      </c>
    </row>
    <row r="193" spans="1:6">
      <c r="A193" s="25" t="s">
        <v>558</v>
      </c>
      <c r="B193" s="25" t="s">
        <v>571</v>
      </c>
      <c r="C193" s="25" t="s">
        <v>387</v>
      </c>
      <c r="D193" s="32">
        <v>10</v>
      </c>
      <c r="E193" s="25" t="s">
        <v>388</v>
      </c>
      <c r="F193" s="25" t="str">
        <f t="shared" si="2"/>
        <v>message.creditcard.sequenceNumber</v>
      </c>
    </row>
    <row r="194" spans="1:6">
      <c r="A194" s="25" t="s">
        <v>558</v>
      </c>
      <c r="B194" s="25" t="s">
        <v>572</v>
      </c>
      <c r="C194" s="25" t="s">
        <v>387</v>
      </c>
      <c r="D194" s="32">
        <v>32</v>
      </c>
      <c r="E194" s="25" t="s">
        <v>388</v>
      </c>
      <c r="F194" s="25" t="str">
        <f t="shared" ref="F194:F257" si="3">CONCATENATE("message.",A194,".",B194)</f>
        <v>message.creditcard.blockCode</v>
      </c>
    </row>
    <row r="195" spans="1:6">
      <c r="A195" s="25" t="s">
        <v>558</v>
      </c>
      <c r="B195" s="25" t="s">
        <v>573</v>
      </c>
      <c r="C195" s="25" t="s">
        <v>413</v>
      </c>
      <c r="E195" s="25" t="s">
        <v>388</v>
      </c>
      <c r="F195" s="25" t="str">
        <f t="shared" si="3"/>
        <v>message.creditcard.cyclesOverLimit</v>
      </c>
    </row>
    <row r="196" spans="1:6">
      <c r="A196" s="25" t="s">
        <v>558</v>
      </c>
      <c r="B196" s="25" t="s">
        <v>574</v>
      </c>
      <c r="C196" s="25" t="s">
        <v>396</v>
      </c>
      <c r="E196" s="25" t="s">
        <v>388</v>
      </c>
      <c r="F196" s="25" t="str">
        <f t="shared" si="3"/>
        <v>message.creditcard.blockDt</v>
      </c>
    </row>
    <row r="197" spans="1:6">
      <c r="A197" s="25" t="s">
        <v>558</v>
      </c>
      <c r="B197" s="25" t="s">
        <v>410</v>
      </c>
      <c r="C197" s="25" t="s">
        <v>387</v>
      </c>
      <c r="D197" s="32">
        <v>40</v>
      </c>
      <c r="E197" s="25" t="s">
        <v>388</v>
      </c>
      <c r="F197" s="25" t="str">
        <f t="shared" si="3"/>
        <v>message.creditcard.type</v>
      </c>
    </row>
    <row r="198" spans="1:6">
      <c r="A198" s="25" t="s">
        <v>558</v>
      </c>
      <c r="B198" s="25" t="s">
        <v>575</v>
      </c>
      <c r="C198" s="25" t="s">
        <v>387</v>
      </c>
      <c r="D198" s="32">
        <v>3</v>
      </c>
      <c r="E198" s="25" t="s">
        <v>388</v>
      </c>
      <c r="F198" s="25" t="str">
        <f t="shared" si="3"/>
        <v>message.creditcard.issuingCountry</v>
      </c>
    </row>
    <row r="199" spans="1:6">
      <c r="A199" s="25" t="s">
        <v>558</v>
      </c>
      <c r="B199" s="25" t="s">
        <v>576</v>
      </c>
      <c r="C199" s="25" t="s">
        <v>418</v>
      </c>
      <c r="E199" s="25" t="s">
        <v>388</v>
      </c>
      <c r="F199" s="25" t="str">
        <f t="shared" si="3"/>
        <v>message.creditcard.lastLimit</v>
      </c>
    </row>
    <row r="200" spans="1:6">
      <c r="A200" s="25" t="s">
        <v>558</v>
      </c>
      <c r="B200" s="25" t="s">
        <v>577</v>
      </c>
      <c r="C200" s="25" t="s">
        <v>387</v>
      </c>
      <c r="D200" s="32">
        <v>80</v>
      </c>
      <c r="E200" s="25" t="s">
        <v>388</v>
      </c>
      <c r="F200" s="25" t="str">
        <f t="shared" si="3"/>
        <v>message.creditcard.binCategory</v>
      </c>
    </row>
    <row r="201" spans="1:6">
      <c r="A201" s="25" t="s">
        <v>558</v>
      </c>
      <c r="B201" s="25" t="s">
        <v>578</v>
      </c>
      <c r="C201" s="25" t="s">
        <v>387</v>
      </c>
      <c r="D201" s="32">
        <v>100</v>
      </c>
      <c r="E201" s="25" t="s">
        <v>388</v>
      </c>
      <c r="F201" s="25" t="str">
        <f t="shared" si="3"/>
        <v>message.creditcard.accountNumber</v>
      </c>
    </row>
    <row r="202" spans="1:6">
      <c r="A202" s="25" t="s">
        <v>558</v>
      </c>
      <c r="B202" s="25" t="s">
        <v>554</v>
      </c>
      <c r="C202" s="25" t="s">
        <v>418</v>
      </c>
      <c r="E202" s="25" t="s">
        <v>388</v>
      </c>
      <c r="F202" s="25" t="str">
        <f t="shared" si="3"/>
        <v>message.creditcard.balance</v>
      </c>
    </row>
    <row r="203" spans="1:6">
      <c r="A203" s="25" t="s">
        <v>558</v>
      </c>
      <c r="B203" s="25" t="s">
        <v>552</v>
      </c>
      <c r="C203" s="25" t="s">
        <v>387</v>
      </c>
      <c r="D203" s="32">
        <v>3</v>
      </c>
      <c r="E203" s="25" t="s">
        <v>388</v>
      </c>
      <c r="F203" s="25" t="str">
        <f t="shared" si="3"/>
        <v>message.creditcard.delinquencyStatus</v>
      </c>
    </row>
    <row r="204" spans="1:6">
      <c r="A204" s="25" t="s">
        <v>558</v>
      </c>
      <c r="B204" s="25" t="s">
        <v>579</v>
      </c>
      <c r="C204" s="25" t="s">
        <v>387</v>
      </c>
      <c r="D204" s="32">
        <v>80</v>
      </c>
      <c r="E204" s="25" t="s">
        <v>388</v>
      </c>
      <c r="F204" s="25" t="str">
        <f t="shared" si="3"/>
        <v>message.creditcard.encryptedSecurityCode</v>
      </c>
    </row>
    <row r="205" spans="1:6">
      <c r="A205" s="25" t="s">
        <v>558</v>
      </c>
      <c r="B205" s="25" t="s">
        <v>580</v>
      </c>
      <c r="C205" s="25" t="s">
        <v>387</v>
      </c>
      <c r="D205" s="32">
        <v>4</v>
      </c>
      <c r="E205" s="25" t="s">
        <v>388</v>
      </c>
      <c r="F205" s="25" t="str">
        <f t="shared" si="3"/>
        <v>message.creditcard.lastFourDigits</v>
      </c>
    </row>
    <row r="206" spans="1:6">
      <c r="A206" s="25" t="s">
        <v>558</v>
      </c>
      <c r="B206" s="25" t="s">
        <v>549</v>
      </c>
      <c r="C206" s="25" t="s">
        <v>387</v>
      </c>
      <c r="D206" s="32">
        <v>2</v>
      </c>
      <c r="E206" s="25" t="s">
        <v>388</v>
      </c>
      <c r="F206" s="25" t="str">
        <f t="shared" si="3"/>
        <v>message.creditcard.balanceType</v>
      </c>
    </row>
    <row r="207" spans="1:6">
      <c r="A207" s="25" t="s">
        <v>558</v>
      </c>
      <c r="B207" s="25" t="s">
        <v>581</v>
      </c>
      <c r="C207" s="25" t="s">
        <v>396</v>
      </c>
      <c r="E207" s="25" t="s">
        <v>388</v>
      </c>
      <c r="F207" s="25" t="str">
        <f t="shared" si="3"/>
        <v>message.creditcard.lastPinDt</v>
      </c>
    </row>
    <row r="208" spans="1:6">
      <c r="A208" s="25" t="s">
        <v>558</v>
      </c>
      <c r="B208" s="25" t="s">
        <v>582</v>
      </c>
      <c r="C208" s="25" t="s">
        <v>387</v>
      </c>
      <c r="D208" s="32">
        <v>4</v>
      </c>
      <c r="E208" s="25" t="s">
        <v>388</v>
      </c>
      <c r="F208" s="25" t="str">
        <f t="shared" si="3"/>
        <v>message.creditcard.lastExpiration</v>
      </c>
    </row>
    <row r="209" spans="1:6">
      <c r="A209" s="25" t="s">
        <v>558</v>
      </c>
      <c r="B209" s="25" t="s">
        <v>583</v>
      </c>
      <c r="C209" s="25" t="s">
        <v>387</v>
      </c>
      <c r="D209" s="32">
        <v>80</v>
      </c>
      <c r="E209" s="25" t="s">
        <v>388</v>
      </c>
      <c r="F209" s="25" t="str">
        <f t="shared" si="3"/>
        <v>message.creditcard.holderName</v>
      </c>
    </row>
    <row r="210" spans="1:6">
      <c r="A210" s="25" t="s">
        <v>558</v>
      </c>
      <c r="B210" s="25" t="s">
        <v>584</v>
      </c>
      <c r="C210" s="25" t="s">
        <v>413</v>
      </c>
      <c r="E210" s="25" t="s">
        <v>388</v>
      </c>
      <c r="F210" s="25" t="str">
        <f t="shared" si="3"/>
        <v>message.creditcard.linkedCards</v>
      </c>
    </row>
    <row r="211" spans="1:6">
      <c r="A211" s="25" t="s">
        <v>558</v>
      </c>
      <c r="B211" s="25" t="s">
        <v>551</v>
      </c>
      <c r="C211" s="25" t="s">
        <v>387</v>
      </c>
      <c r="D211" s="32">
        <v>2</v>
      </c>
      <c r="E211" s="25" t="s">
        <v>388</v>
      </c>
      <c r="F211" s="25" t="str">
        <f t="shared" si="3"/>
        <v>message.creditcard.balanceAlternateType</v>
      </c>
    </row>
    <row r="212" spans="1:6">
      <c r="A212" s="25" t="s">
        <v>558</v>
      </c>
      <c r="B212" s="25" t="s">
        <v>585</v>
      </c>
      <c r="C212" s="25" t="s">
        <v>387</v>
      </c>
      <c r="D212" s="32">
        <v>1</v>
      </c>
      <c r="E212" s="25" t="s">
        <v>388</v>
      </c>
      <c r="F212" s="25" t="str">
        <f t="shared" si="3"/>
        <v>message.creditcard.activationChannelInd</v>
      </c>
    </row>
    <row r="213" spans="1:6">
      <c r="A213" s="25" t="s">
        <v>558</v>
      </c>
      <c r="B213" s="25" t="s">
        <v>586</v>
      </c>
      <c r="C213" s="25" t="s">
        <v>387</v>
      </c>
      <c r="D213" s="32">
        <v>10</v>
      </c>
      <c r="E213" s="25" t="s">
        <v>388</v>
      </c>
      <c r="F213" s="25" t="str">
        <f t="shared" si="3"/>
        <v>message.creditcard.cardMedia</v>
      </c>
    </row>
    <row r="214" spans="1:6">
      <c r="A214" s="25" t="s">
        <v>558</v>
      </c>
      <c r="B214" s="25" t="s">
        <v>587</v>
      </c>
      <c r="C214" s="25" t="s">
        <v>387</v>
      </c>
      <c r="D214" s="32">
        <v>3</v>
      </c>
      <c r="E214" s="25" t="s">
        <v>388</v>
      </c>
      <c r="F214" s="25" t="str">
        <f t="shared" si="3"/>
        <v>message.creditcard.issueType</v>
      </c>
    </row>
    <row r="215" spans="1:6">
      <c r="A215" s="25" t="s">
        <v>558</v>
      </c>
      <c r="B215" s="25" t="s">
        <v>544</v>
      </c>
      <c r="C215" s="25" t="s">
        <v>387</v>
      </c>
      <c r="D215" s="32">
        <v>80</v>
      </c>
      <c r="E215" s="25" t="s">
        <v>388</v>
      </c>
      <c r="F215" s="25" t="str">
        <f t="shared" si="3"/>
        <v>message.creditcard.number</v>
      </c>
    </row>
    <row r="216" spans="1:6">
      <c r="A216" s="25" t="s">
        <v>558</v>
      </c>
      <c r="B216" s="25" t="s">
        <v>588</v>
      </c>
      <c r="C216" s="25" t="s">
        <v>396</v>
      </c>
      <c r="E216" s="25" t="s">
        <v>388</v>
      </c>
      <c r="F216" s="25" t="str">
        <f t="shared" si="3"/>
        <v>message.creditcard.issueDt</v>
      </c>
    </row>
    <row r="217" spans="1:6">
      <c r="A217" s="25" t="s">
        <v>558</v>
      </c>
      <c r="B217" s="25" t="s">
        <v>589</v>
      </c>
      <c r="C217" s="25" t="s">
        <v>387</v>
      </c>
      <c r="D217" s="32">
        <v>80</v>
      </c>
      <c r="E217" s="25" t="s">
        <v>388</v>
      </c>
      <c r="F217" s="25" t="str">
        <f t="shared" si="3"/>
        <v>message.creditcard.issuingBank</v>
      </c>
    </row>
    <row r="218" spans="1:6">
      <c r="A218" s="25" t="s">
        <v>558</v>
      </c>
      <c r="B218" s="25" t="s">
        <v>530</v>
      </c>
      <c r="C218" s="25" t="s">
        <v>413</v>
      </c>
      <c r="E218" s="25" t="s">
        <v>388</v>
      </c>
      <c r="F218" s="25" t="str">
        <f t="shared" si="3"/>
        <v>message.creditcard.delinquencyDays</v>
      </c>
    </row>
    <row r="219" spans="1:6">
      <c r="A219" s="25" t="s">
        <v>558</v>
      </c>
      <c r="B219" s="25" t="s">
        <v>590</v>
      </c>
      <c r="C219" s="25" t="s">
        <v>396</v>
      </c>
      <c r="E219" s="25" t="s">
        <v>388</v>
      </c>
      <c r="F219" s="25" t="str">
        <f t="shared" si="3"/>
        <v>message.creditcard.invalidPinDt</v>
      </c>
    </row>
    <row r="220" spans="1:6">
      <c r="A220" s="25" t="s">
        <v>558</v>
      </c>
      <c r="B220" s="25" t="s">
        <v>459</v>
      </c>
      <c r="C220" s="25" t="s">
        <v>387</v>
      </c>
      <c r="D220" s="32">
        <v>3</v>
      </c>
      <c r="E220" s="25" t="s">
        <v>388</v>
      </c>
      <c r="F220" s="25" t="str">
        <f t="shared" si="3"/>
        <v>message.creditcard.currency</v>
      </c>
    </row>
    <row r="221" spans="1:6">
      <c r="A221" s="25" t="s">
        <v>558</v>
      </c>
      <c r="B221" s="25" t="s">
        <v>591</v>
      </c>
      <c r="C221" s="25" t="s">
        <v>387</v>
      </c>
      <c r="D221" s="32">
        <v>3</v>
      </c>
      <c r="E221" s="25" t="s">
        <v>388</v>
      </c>
      <c r="F221" s="25" t="str">
        <f t="shared" si="3"/>
        <v>message.creditcard.cardholderCountryCode</v>
      </c>
    </row>
    <row r="222" spans="1:6">
      <c r="A222" s="25" t="s">
        <v>558</v>
      </c>
      <c r="B222" s="25" t="s">
        <v>592</v>
      </c>
      <c r="C222" s="25" t="s">
        <v>387</v>
      </c>
      <c r="D222" s="32">
        <v>80</v>
      </c>
      <c r="E222" s="25" t="s">
        <v>388</v>
      </c>
      <c r="F222" s="25" t="str">
        <f t="shared" si="3"/>
        <v>message.creditcard.holderEmbossedName</v>
      </c>
    </row>
    <row r="223" spans="1:6">
      <c r="A223" s="25" t="s">
        <v>558</v>
      </c>
      <c r="B223" s="25" t="s">
        <v>593</v>
      </c>
      <c r="C223" s="25" t="s">
        <v>418</v>
      </c>
      <c r="E223" s="25" t="s">
        <v>388</v>
      </c>
      <c r="F223" s="25" t="str">
        <f t="shared" si="3"/>
        <v>message.creditcard.cashLimit</v>
      </c>
    </row>
    <row r="224" spans="1:6">
      <c r="A224" s="25" t="s">
        <v>558</v>
      </c>
      <c r="B224" s="25" t="s">
        <v>594</v>
      </c>
      <c r="C224" s="25" t="s">
        <v>387</v>
      </c>
      <c r="D224" s="32">
        <v>80</v>
      </c>
      <c r="E224" s="25" t="s">
        <v>388</v>
      </c>
      <c r="F224" s="25" t="str">
        <f t="shared" si="3"/>
        <v>message.creditcard.linkedPaymentAccount</v>
      </c>
    </row>
    <row r="225" spans="1:6">
      <c r="A225" s="25" t="s">
        <v>558</v>
      </c>
      <c r="B225" s="25" t="s">
        <v>595</v>
      </c>
      <c r="C225" s="25" t="s">
        <v>396</v>
      </c>
      <c r="E225" s="25" t="s">
        <v>388</v>
      </c>
      <c r="F225" s="25" t="str">
        <f t="shared" si="3"/>
        <v>message.creditcard.activationDt</v>
      </c>
    </row>
    <row r="226" spans="1:6">
      <c r="A226" s="25" t="s">
        <v>558</v>
      </c>
      <c r="B226" s="25" t="s">
        <v>596</v>
      </c>
      <c r="C226" s="25" t="s">
        <v>387</v>
      </c>
      <c r="D226" s="32">
        <v>4</v>
      </c>
      <c r="E226" s="25" t="s">
        <v>388</v>
      </c>
      <c r="F226" s="25" t="str">
        <f t="shared" si="3"/>
        <v>message.creditcard.messageExpirationDt</v>
      </c>
    </row>
    <row r="227" spans="1:6">
      <c r="A227" s="25" t="s">
        <v>558</v>
      </c>
      <c r="B227" s="25" t="s">
        <v>555</v>
      </c>
      <c r="C227" s="25" t="s">
        <v>418</v>
      </c>
      <c r="E227" s="25" t="s">
        <v>388</v>
      </c>
      <c r="F227" s="25" t="str">
        <f t="shared" si="3"/>
        <v>message.creditcard.availableBalance</v>
      </c>
    </row>
    <row r="228" spans="1:6">
      <c r="A228" s="25" t="s">
        <v>558</v>
      </c>
      <c r="B228" s="25" t="s">
        <v>536</v>
      </c>
      <c r="C228" s="25" t="s">
        <v>418</v>
      </c>
      <c r="E228" s="25" t="s">
        <v>388</v>
      </c>
      <c r="F228" s="25" t="str">
        <f t="shared" si="3"/>
        <v>message.creditcard.balanceAlternate</v>
      </c>
    </row>
    <row r="229" spans="1:6">
      <c r="A229" s="25" t="s">
        <v>558</v>
      </c>
      <c r="B229" s="25" t="s">
        <v>597</v>
      </c>
      <c r="C229" s="25" t="s">
        <v>387</v>
      </c>
      <c r="D229" s="32">
        <v>80</v>
      </c>
      <c r="E229" s="25" t="s">
        <v>388</v>
      </c>
      <c r="F229" s="25" t="str">
        <f t="shared" si="3"/>
        <v>message.creditcard.encryptedNumber</v>
      </c>
    </row>
    <row r="230" spans="1:6">
      <c r="A230" s="25" t="s">
        <v>558</v>
      </c>
      <c r="B230" s="25" t="s">
        <v>448</v>
      </c>
      <c r="C230" s="25" t="s">
        <v>387</v>
      </c>
      <c r="D230" s="32">
        <v>3</v>
      </c>
      <c r="E230" s="25" t="s">
        <v>388</v>
      </c>
      <c r="F230" s="25" t="str">
        <f t="shared" si="3"/>
        <v>message.creditcard.currencyCode</v>
      </c>
    </row>
    <row r="231" spans="1:6">
      <c r="A231" s="25" t="s">
        <v>558</v>
      </c>
      <c r="B231" s="25" t="s">
        <v>471</v>
      </c>
      <c r="C231" s="25" t="s">
        <v>387</v>
      </c>
      <c r="D231" s="32">
        <v>40</v>
      </c>
      <c r="E231" s="25" t="s">
        <v>388</v>
      </c>
      <c r="F231" s="25" t="str">
        <f t="shared" si="3"/>
        <v>message.creditcard.subType</v>
      </c>
    </row>
    <row r="232" spans="1:6">
      <c r="A232" s="25" t="s">
        <v>558</v>
      </c>
      <c r="B232" s="25" t="s">
        <v>598</v>
      </c>
      <c r="C232" s="25" t="s">
        <v>387</v>
      </c>
      <c r="D232" s="32">
        <v>4</v>
      </c>
      <c r="E232" s="25" t="s">
        <v>388</v>
      </c>
      <c r="F232" s="25" t="str">
        <f t="shared" si="3"/>
        <v>message.creditcard.expirationYear</v>
      </c>
    </row>
    <row r="233" spans="1:6">
      <c r="A233" s="25" t="s">
        <v>558</v>
      </c>
      <c r="B233" s="25" t="s">
        <v>599</v>
      </c>
      <c r="C233" s="25" t="s">
        <v>387</v>
      </c>
      <c r="D233" s="32">
        <v>4</v>
      </c>
      <c r="E233" s="25" t="s">
        <v>388</v>
      </c>
      <c r="F233" s="25" t="str">
        <f t="shared" si="3"/>
        <v>message.creditcard.expirationDt</v>
      </c>
    </row>
    <row r="234" spans="1:6">
      <c r="A234" s="25" t="s">
        <v>558</v>
      </c>
      <c r="B234" s="25" t="s">
        <v>600</v>
      </c>
      <c r="C234" s="25" t="s">
        <v>418</v>
      </c>
      <c r="E234" s="25" t="s">
        <v>388</v>
      </c>
      <c r="F234" s="25" t="str">
        <f t="shared" si="3"/>
        <v>message.creditcard.cashBalance</v>
      </c>
    </row>
    <row r="235" spans="1:6">
      <c r="A235" s="25" t="s">
        <v>558</v>
      </c>
      <c r="B235" s="25" t="s">
        <v>601</v>
      </c>
      <c r="C235" s="25" t="s">
        <v>387</v>
      </c>
      <c r="D235" s="32">
        <v>11</v>
      </c>
      <c r="E235" s="25" t="s">
        <v>388</v>
      </c>
      <c r="F235" s="25" t="str">
        <f t="shared" si="3"/>
        <v>message.creditcard.bin</v>
      </c>
    </row>
    <row r="236" spans="1:6">
      <c r="A236" s="25" t="s">
        <v>602</v>
      </c>
      <c r="B236" s="25" t="s">
        <v>603</v>
      </c>
      <c r="C236" s="25" t="s">
        <v>396</v>
      </c>
      <c r="E236" s="25" t="s">
        <v>388</v>
      </c>
      <c r="F236" s="25" t="str">
        <f t="shared" si="3"/>
        <v>message.customer.mobilePhoneLastChangeDt</v>
      </c>
    </row>
    <row r="237" spans="1:6">
      <c r="A237" s="25" t="s">
        <v>602</v>
      </c>
      <c r="B237" s="25" t="s">
        <v>604</v>
      </c>
      <c r="C237" s="25" t="s">
        <v>387</v>
      </c>
      <c r="D237" s="32">
        <v>1</v>
      </c>
      <c r="E237" s="25" t="s">
        <v>388</v>
      </c>
      <c r="F237" s="25" t="str">
        <f t="shared" si="3"/>
        <v>message.customer.authorityStatusInd</v>
      </c>
    </row>
    <row r="238" spans="1:6">
      <c r="A238" s="25" t="s">
        <v>602</v>
      </c>
      <c r="B238" s="25" t="s">
        <v>407</v>
      </c>
      <c r="C238" s="25" t="s">
        <v>387</v>
      </c>
      <c r="D238" s="32">
        <v>100</v>
      </c>
      <c r="E238" s="25" t="s">
        <v>388</v>
      </c>
      <c r="F238" s="25" t="str">
        <f t="shared" si="3"/>
        <v>message.customer.name</v>
      </c>
    </row>
    <row r="239" spans="1:6">
      <c r="A239" s="25" t="s">
        <v>602</v>
      </c>
      <c r="B239" s="25" t="s">
        <v>605</v>
      </c>
      <c r="C239" s="25" t="s">
        <v>387</v>
      </c>
      <c r="D239" s="32">
        <v>20</v>
      </c>
      <c r="E239" s="25" t="s">
        <v>388</v>
      </c>
      <c r="F239" s="25" t="str">
        <f t="shared" si="3"/>
        <v>message.customer.mobilePhone</v>
      </c>
    </row>
    <row r="240" spans="1:6">
      <c r="A240" s="25" t="s">
        <v>602</v>
      </c>
      <c r="B240" s="25" t="s">
        <v>419</v>
      </c>
      <c r="C240" s="25" t="s">
        <v>387</v>
      </c>
      <c r="D240" s="32">
        <v>20</v>
      </c>
      <c r="E240" s="25" t="s">
        <v>388</v>
      </c>
      <c r="F240" s="25" t="str">
        <f t="shared" si="3"/>
        <v>message.customer.identifierDesc</v>
      </c>
    </row>
    <row r="241" spans="1:6">
      <c r="A241" s="25" t="s">
        <v>602</v>
      </c>
      <c r="B241" s="25" t="s">
        <v>410</v>
      </c>
      <c r="C241" s="25" t="s">
        <v>387</v>
      </c>
      <c r="D241" s="32">
        <v>3</v>
      </c>
      <c r="E241" s="25" t="s">
        <v>388</v>
      </c>
      <c r="F241" s="25" t="str">
        <f t="shared" si="3"/>
        <v>message.customer.type</v>
      </c>
    </row>
    <row r="242" spans="1:6">
      <c r="A242" s="25" t="s">
        <v>602</v>
      </c>
      <c r="B242" s="25" t="s">
        <v>520</v>
      </c>
      <c r="C242" s="25" t="s">
        <v>387</v>
      </c>
      <c r="D242" s="32">
        <v>50</v>
      </c>
      <c r="E242" s="25" t="s">
        <v>388</v>
      </c>
      <c r="F242" s="25" t="str">
        <f t="shared" si="3"/>
        <v>message.customer.addressCity</v>
      </c>
    </row>
    <row r="243" spans="1:6">
      <c r="A243" s="25" t="s">
        <v>602</v>
      </c>
      <c r="B243" s="25" t="s">
        <v>426</v>
      </c>
      <c r="C243" s="25" t="s">
        <v>387</v>
      </c>
      <c r="D243" s="32">
        <v>3</v>
      </c>
      <c r="E243" s="25" t="s">
        <v>388</v>
      </c>
      <c r="F243" s="25" t="str">
        <f t="shared" si="3"/>
        <v>message.customer.incomeStatusType</v>
      </c>
    </row>
    <row r="244" spans="1:6">
      <c r="A244" s="25" t="s">
        <v>602</v>
      </c>
      <c r="B244" s="25" t="s">
        <v>414</v>
      </c>
      <c r="C244" s="25" t="s">
        <v>387</v>
      </c>
      <c r="D244" s="32">
        <v>3</v>
      </c>
      <c r="E244" s="25" t="s">
        <v>388</v>
      </c>
      <c r="F244" s="25" t="str">
        <f t="shared" si="3"/>
        <v>message.customer.language</v>
      </c>
    </row>
    <row r="245" spans="1:6">
      <c r="A245" s="25" t="s">
        <v>602</v>
      </c>
      <c r="B245" s="25" t="s">
        <v>523</v>
      </c>
      <c r="C245" s="25" t="s">
        <v>387</v>
      </c>
      <c r="D245" s="32">
        <v>3</v>
      </c>
      <c r="E245" s="25" t="s">
        <v>388</v>
      </c>
      <c r="F245" s="25" t="str">
        <f t="shared" si="3"/>
        <v>message.customer.addressCountry</v>
      </c>
    </row>
    <row r="246" spans="1:6">
      <c r="A246" s="25" t="s">
        <v>602</v>
      </c>
      <c r="B246" s="25" t="s">
        <v>606</v>
      </c>
      <c r="C246" s="25" t="s">
        <v>387</v>
      </c>
      <c r="D246" s="32">
        <v>3</v>
      </c>
      <c r="E246" s="25" t="s">
        <v>388</v>
      </c>
      <c r="F246" s="25" t="str">
        <f t="shared" si="3"/>
        <v>message.customer.nationality</v>
      </c>
    </row>
    <row r="247" spans="1:6">
      <c r="A247" s="25" t="s">
        <v>602</v>
      </c>
      <c r="B247" s="25" t="s">
        <v>607</v>
      </c>
      <c r="C247" s="25" t="s">
        <v>387</v>
      </c>
      <c r="D247" s="32">
        <v>20</v>
      </c>
      <c r="E247" s="25" t="s">
        <v>388</v>
      </c>
      <c r="F247" s="25" t="str">
        <f t="shared" si="3"/>
        <v>message.customer.employeeJobTitle</v>
      </c>
    </row>
    <row r="248" spans="1:6">
      <c r="A248" s="25" t="s">
        <v>602</v>
      </c>
      <c r="B248" s="25" t="s">
        <v>420</v>
      </c>
      <c r="C248" s="25" t="s">
        <v>387</v>
      </c>
      <c r="D248" s="32">
        <v>50</v>
      </c>
      <c r="E248" s="25" t="s">
        <v>390</v>
      </c>
      <c r="F248" s="25" t="str">
        <f t="shared" si="3"/>
        <v>message.customer.residentialStatus</v>
      </c>
    </row>
    <row r="249" spans="1:6">
      <c r="A249" s="25" t="s">
        <v>602</v>
      </c>
      <c r="B249" s="25" t="s">
        <v>422</v>
      </c>
      <c r="C249" s="25" t="s">
        <v>387</v>
      </c>
      <c r="D249" s="32">
        <v>100</v>
      </c>
      <c r="E249" s="25" t="s">
        <v>388</v>
      </c>
      <c r="F249" s="25" t="str">
        <f t="shared" si="3"/>
        <v>message.customer.identifier</v>
      </c>
    </row>
    <row r="250" spans="1:6">
      <c r="A250" s="25" t="s">
        <v>602</v>
      </c>
      <c r="B250" s="25" t="s">
        <v>608</v>
      </c>
      <c r="C250" s="25" t="s">
        <v>387</v>
      </c>
      <c r="D250" s="32">
        <v>50</v>
      </c>
      <c r="E250" s="25" t="s">
        <v>388</v>
      </c>
      <c r="F250" s="25" t="str">
        <f t="shared" si="3"/>
        <v>message.customer.employerName</v>
      </c>
    </row>
    <row r="251" spans="1:6">
      <c r="A251" s="25" t="s">
        <v>602</v>
      </c>
      <c r="B251" s="25" t="s">
        <v>409</v>
      </c>
      <c r="C251" s="25" t="s">
        <v>387</v>
      </c>
      <c r="D251" s="32">
        <v>30</v>
      </c>
      <c r="E251" s="25" t="s">
        <v>390</v>
      </c>
      <c r="F251" s="25" t="str">
        <f t="shared" si="3"/>
        <v>message.customer.maritalStatus</v>
      </c>
    </row>
    <row r="252" spans="1:6">
      <c r="A252" s="25" t="s">
        <v>602</v>
      </c>
      <c r="B252" s="25" t="s">
        <v>609</v>
      </c>
      <c r="C252" s="25" t="s">
        <v>387</v>
      </c>
      <c r="D252" s="32">
        <v>3</v>
      </c>
      <c r="E252" s="25" t="s">
        <v>388</v>
      </c>
      <c r="F252" s="25" t="str">
        <f t="shared" si="3"/>
        <v>message.customer.nationalityCode</v>
      </c>
    </row>
    <row r="253" spans="1:6">
      <c r="A253" s="25" t="s">
        <v>602</v>
      </c>
      <c r="B253" s="25" t="s">
        <v>610</v>
      </c>
      <c r="C253" s="25" t="s">
        <v>424</v>
      </c>
      <c r="E253" s="25" t="s">
        <v>388</v>
      </c>
      <c r="F253" s="25" t="str">
        <f t="shared" si="3"/>
        <v>message.customer.employeeFlg</v>
      </c>
    </row>
    <row r="254" spans="1:6">
      <c r="A254" s="25" t="s">
        <v>602</v>
      </c>
      <c r="B254" s="25" t="s">
        <v>528</v>
      </c>
      <c r="C254" s="25" t="s">
        <v>387</v>
      </c>
      <c r="D254" s="32">
        <v>100</v>
      </c>
      <c r="E254" s="25" t="s">
        <v>388</v>
      </c>
      <c r="F254" s="25" t="str">
        <f t="shared" si="3"/>
        <v>message.customer.address</v>
      </c>
    </row>
    <row r="255" spans="1:6">
      <c r="A255" s="25" t="s">
        <v>602</v>
      </c>
      <c r="B255" s="25" t="s">
        <v>517</v>
      </c>
      <c r="C255" s="25" t="s">
        <v>396</v>
      </c>
      <c r="E255" s="25" t="s">
        <v>388</v>
      </c>
      <c r="F255" s="25" t="str">
        <f t="shared" si="3"/>
        <v>message.customer.joinDt</v>
      </c>
    </row>
    <row r="256" spans="1:6">
      <c r="A256" s="25" t="s">
        <v>602</v>
      </c>
      <c r="B256" s="25" t="s">
        <v>611</v>
      </c>
      <c r="C256" s="25" t="s">
        <v>387</v>
      </c>
      <c r="D256" s="32">
        <v>20</v>
      </c>
      <c r="E256" s="25" t="s">
        <v>388</v>
      </c>
      <c r="F256" s="25" t="str">
        <f t="shared" si="3"/>
        <v>message.customer.homePhone</v>
      </c>
    </row>
    <row r="257" spans="1:6">
      <c r="A257" s="25" t="s">
        <v>602</v>
      </c>
      <c r="B257" s="25" t="s">
        <v>518</v>
      </c>
      <c r="C257" s="25" t="s">
        <v>396</v>
      </c>
      <c r="E257" s="25" t="s">
        <v>388</v>
      </c>
      <c r="F257" s="25" t="str">
        <f t="shared" si="3"/>
        <v>message.customer.addressLastChangeDt</v>
      </c>
    </row>
    <row r="258" spans="1:6">
      <c r="A258" s="25" t="s">
        <v>602</v>
      </c>
      <c r="B258" s="25" t="s">
        <v>527</v>
      </c>
      <c r="C258" s="25" t="s">
        <v>387</v>
      </c>
      <c r="D258" s="32">
        <v>3</v>
      </c>
      <c r="E258" s="25" t="s">
        <v>388</v>
      </c>
      <c r="F258" s="25" t="str">
        <f t="shared" ref="F258:F268" si="4">CONCATENATE("message.",A258,".",B258)</f>
        <v>message.customer.addressCountryCode</v>
      </c>
    </row>
    <row r="259" spans="1:6">
      <c r="A259" s="25" t="s">
        <v>602</v>
      </c>
      <c r="B259" s="25" t="s">
        <v>612</v>
      </c>
      <c r="C259" s="25" t="s">
        <v>396</v>
      </c>
      <c r="E259" s="25" t="s">
        <v>388</v>
      </c>
      <c r="F259" s="25" t="str">
        <f t="shared" si="4"/>
        <v>message.customer.employeeStartDt</v>
      </c>
    </row>
    <row r="260" spans="1:6">
      <c r="A260" s="25" t="s">
        <v>602</v>
      </c>
      <c r="B260" s="25" t="s">
        <v>415</v>
      </c>
      <c r="C260" s="25" t="s">
        <v>387</v>
      </c>
      <c r="D260" s="32">
        <v>3</v>
      </c>
      <c r="E260" s="25" t="s">
        <v>388</v>
      </c>
      <c r="F260" s="25" t="str">
        <f t="shared" si="4"/>
        <v>message.customer.languageCode</v>
      </c>
    </row>
    <row r="261" spans="1:6">
      <c r="A261" s="25" t="s">
        <v>602</v>
      </c>
      <c r="B261" s="25" t="s">
        <v>519</v>
      </c>
      <c r="C261" s="25" t="s">
        <v>387</v>
      </c>
      <c r="D261" s="32">
        <v>100</v>
      </c>
      <c r="E261" s="25" t="s">
        <v>388</v>
      </c>
      <c r="F261" s="25" t="str">
        <f t="shared" si="4"/>
        <v>message.customer.email</v>
      </c>
    </row>
    <row r="262" spans="1:6">
      <c r="A262" s="25" t="s">
        <v>602</v>
      </c>
      <c r="B262" s="25" t="s">
        <v>408</v>
      </c>
      <c r="C262" s="25" t="s">
        <v>387</v>
      </c>
      <c r="D262" s="32">
        <v>5</v>
      </c>
      <c r="E262" s="25" t="s">
        <v>390</v>
      </c>
      <c r="F262" s="25" t="str">
        <f t="shared" si="4"/>
        <v>message.customer.salaryFrequency</v>
      </c>
    </row>
    <row r="263" spans="1:6">
      <c r="A263" s="25" t="s">
        <v>602</v>
      </c>
      <c r="B263" s="25" t="s">
        <v>613</v>
      </c>
      <c r="C263" s="25" t="s">
        <v>396</v>
      </c>
      <c r="E263" s="25" t="s">
        <v>388</v>
      </c>
      <c r="F263" s="25" t="str">
        <f t="shared" si="4"/>
        <v>message.customer.birthDt</v>
      </c>
    </row>
    <row r="264" spans="1:6">
      <c r="A264" s="25" t="s">
        <v>602</v>
      </c>
      <c r="B264" s="25" t="s">
        <v>614</v>
      </c>
      <c r="C264" s="25" t="s">
        <v>387</v>
      </c>
      <c r="D264" s="32">
        <v>20</v>
      </c>
      <c r="E264" s="25" t="s">
        <v>388</v>
      </c>
      <c r="F264" s="25" t="str">
        <f t="shared" si="4"/>
        <v>message.customer.workPhone</v>
      </c>
    </row>
    <row r="265" spans="1:6">
      <c r="A265" s="25" t="s">
        <v>602</v>
      </c>
      <c r="B265" s="25" t="s">
        <v>522</v>
      </c>
      <c r="C265" s="25" t="s">
        <v>396</v>
      </c>
      <c r="E265" s="25" t="s">
        <v>388</v>
      </c>
      <c r="F265" s="25" t="str">
        <f t="shared" si="4"/>
        <v>message.customer.emailLastChangeDt</v>
      </c>
    </row>
    <row r="266" spans="1:6">
      <c r="A266" s="25" t="s">
        <v>602</v>
      </c>
      <c r="B266" s="25" t="s">
        <v>525</v>
      </c>
      <c r="C266" s="25" t="s">
        <v>387</v>
      </c>
      <c r="D266" s="32">
        <v>15</v>
      </c>
      <c r="E266" s="25" t="s">
        <v>388</v>
      </c>
      <c r="F266" s="25" t="str">
        <f t="shared" si="4"/>
        <v>message.customer.addressPostcode</v>
      </c>
    </row>
    <row r="267" spans="1:6">
      <c r="A267" s="25" t="s">
        <v>602</v>
      </c>
      <c r="B267" s="25" t="s">
        <v>615</v>
      </c>
      <c r="C267" s="25" t="s">
        <v>396</v>
      </c>
      <c r="E267" s="25" t="s">
        <v>388</v>
      </c>
      <c r="F267" s="25" t="str">
        <f t="shared" si="4"/>
        <v>message.customer.homePhoneLastChangeDt</v>
      </c>
    </row>
    <row r="268" spans="1:6">
      <c r="A268" s="25" t="s">
        <v>602</v>
      </c>
      <c r="B268" s="25" t="s">
        <v>431</v>
      </c>
      <c r="C268" s="25" t="s">
        <v>387</v>
      </c>
      <c r="D268" s="32">
        <v>100</v>
      </c>
      <c r="E268" s="25" t="s">
        <v>388</v>
      </c>
      <c r="F268" s="25" t="str">
        <f t="shared" si="4"/>
        <v>message.customer.surname</v>
      </c>
    </row>
    <row r="269" spans="1:6">
      <c r="A269" s="25" t="s">
        <v>616</v>
      </c>
      <c r="B269" s="30" t="s">
        <v>613</v>
      </c>
      <c r="C269" s="31" t="s">
        <v>396</v>
      </c>
      <c r="D269" s="33"/>
      <c r="E269" s="30" t="s">
        <v>388</v>
      </c>
    </row>
    <row r="270" spans="1:6">
      <c r="A270" s="25" t="s">
        <v>616</v>
      </c>
      <c r="B270" s="30" t="s">
        <v>617</v>
      </c>
      <c r="C270" s="31" t="s">
        <v>413</v>
      </c>
      <c r="D270" s="33"/>
      <c r="E270" s="30" t="s">
        <v>388</v>
      </c>
    </row>
    <row r="271" spans="1:6">
      <c r="A271" s="25" t="s">
        <v>616</v>
      </c>
      <c r="B271" s="30" t="s">
        <v>618</v>
      </c>
      <c r="C271" s="31" t="s">
        <v>413</v>
      </c>
      <c r="D271" s="33"/>
      <c r="E271" s="30" t="s">
        <v>388</v>
      </c>
    </row>
    <row r="272" spans="1:6">
      <c r="A272" s="25" t="s">
        <v>616</v>
      </c>
      <c r="B272" s="30" t="s">
        <v>619</v>
      </c>
      <c r="C272" s="31" t="s">
        <v>413</v>
      </c>
      <c r="D272" s="33"/>
      <c r="E272" s="30" t="s">
        <v>388</v>
      </c>
    </row>
    <row r="273" spans="1:6">
      <c r="A273" s="25" t="s">
        <v>620</v>
      </c>
      <c r="B273" s="25" t="s">
        <v>459</v>
      </c>
      <c r="C273" s="25" t="s">
        <v>387</v>
      </c>
      <c r="D273" s="32">
        <v>3</v>
      </c>
      <c r="E273" s="25" t="s">
        <v>388</v>
      </c>
      <c r="F273" s="25" t="str">
        <f t="shared" ref="F273:F304" si="5">CONCATENATE("message.",A273,".",B273)</f>
        <v>message.debitaccount.currency</v>
      </c>
    </row>
    <row r="274" spans="1:6">
      <c r="A274" s="25" t="s">
        <v>620</v>
      </c>
      <c r="B274" s="25" t="s">
        <v>556</v>
      </c>
      <c r="C274" s="25" t="s">
        <v>387</v>
      </c>
      <c r="D274" s="32">
        <v>15</v>
      </c>
      <c r="E274" s="25" t="s">
        <v>388</v>
      </c>
      <c r="F274" s="25" t="str">
        <f t="shared" si="5"/>
        <v>message.debitaccount.branchIdentifier</v>
      </c>
    </row>
    <row r="275" spans="1:6">
      <c r="A275" s="25" t="s">
        <v>620</v>
      </c>
      <c r="B275" s="25" t="s">
        <v>536</v>
      </c>
      <c r="C275" s="25" t="s">
        <v>418</v>
      </c>
      <c r="E275" s="25" t="s">
        <v>388</v>
      </c>
      <c r="F275" s="25" t="str">
        <f t="shared" si="5"/>
        <v>message.debitaccount.balanceAlternate</v>
      </c>
    </row>
    <row r="276" spans="1:6">
      <c r="A276" s="25" t="s">
        <v>620</v>
      </c>
      <c r="B276" s="25" t="s">
        <v>550</v>
      </c>
      <c r="C276" s="25" t="s">
        <v>418</v>
      </c>
      <c r="E276" s="25" t="s">
        <v>388</v>
      </c>
      <c r="F276" s="25" t="str">
        <f t="shared" si="5"/>
        <v>message.debitaccount.spendLimit</v>
      </c>
    </row>
    <row r="277" spans="1:6">
      <c r="A277" s="25" t="s">
        <v>620</v>
      </c>
      <c r="B277" s="25" t="s">
        <v>554</v>
      </c>
      <c r="C277" s="25" t="s">
        <v>418</v>
      </c>
      <c r="E277" s="25" t="s">
        <v>388</v>
      </c>
      <c r="F277" s="25" t="str">
        <f t="shared" si="5"/>
        <v>message.debitaccount.balance</v>
      </c>
    </row>
    <row r="278" spans="1:6">
      <c r="A278" s="25" t="s">
        <v>620</v>
      </c>
      <c r="B278" s="25" t="s">
        <v>530</v>
      </c>
      <c r="C278" s="25" t="s">
        <v>413</v>
      </c>
      <c r="E278" s="25" t="s">
        <v>388</v>
      </c>
      <c r="F278" s="25" t="str">
        <f t="shared" si="5"/>
        <v>message.debitaccount.delinquencyDays</v>
      </c>
    </row>
    <row r="279" spans="1:6">
      <c r="A279" s="25" t="s">
        <v>620</v>
      </c>
      <c r="B279" s="25" t="s">
        <v>546</v>
      </c>
      <c r="C279" s="25" t="s">
        <v>387</v>
      </c>
      <c r="D279" s="32">
        <v>10</v>
      </c>
      <c r="E279" s="25" t="s">
        <v>388</v>
      </c>
      <c r="F279" s="25" t="str">
        <f t="shared" si="5"/>
        <v>message.debitaccount.sortcode</v>
      </c>
    </row>
    <row r="280" spans="1:6">
      <c r="A280" s="25" t="s">
        <v>620</v>
      </c>
      <c r="B280" s="25" t="s">
        <v>557</v>
      </c>
      <c r="C280" s="25" t="s">
        <v>387</v>
      </c>
      <c r="D280" s="32">
        <v>20</v>
      </c>
      <c r="E280" s="25" t="s">
        <v>388</v>
      </c>
      <c r="F280" s="25" t="str">
        <f t="shared" si="5"/>
        <v>message.debitaccount.desc</v>
      </c>
    </row>
    <row r="281" spans="1:6">
      <c r="A281" s="25" t="s">
        <v>620</v>
      </c>
      <c r="B281" s="25" t="s">
        <v>410</v>
      </c>
      <c r="C281" s="25" t="s">
        <v>387</v>
      </c>
      <c r="D281" s="32">
        <v>3</v>
      </c>
      <c r="E281" s="25" t="s">
        <v>388</v>
      </c>
      <c r="F281" s="25" t="str">
        <f t="shared" si="5"/>
        <v>message.debitaccount.type</v>
      </c>
    </row>
    <row r="282" spans="1:6">
      <c r="A282" s="25" t="s">
        <v>620</v>
      </c>
      <c r="B282" s="25" t="s">
        <v>448</v>
      </c>
      <c r="C282" s="25" t="s">
        <v>387</v>
      </c>
      <c r="D282" s="32">
        <v>3</v>
      </c>
      <c r="E282" s="25" t="s">
        <v>388</v>
      </c>
      <c r="F282" s="25" t="str">
        <f t="shared" si="5"/>
        <v>message.debitaccount.currencyCode</v>
      </c>
    </row>
    <row r="283" spans="1:6">
      <c r="A283" s="25" t="s">
        <v>620</v>
      </c>
      <c r="B283" s="25" t="s">
        <v>531</v>
      </c>
      <c r="C283" s="25" t="s">
        <v>387</v>
      </c>
      <c r="D283" s="32">
        <v>3</v>
      </c>
      <c r="E283" s="25" t="s">
        <v>388</v>
      </c>
      <c r="F283" s="25" t="str">
        <f t="shared" si="5"/>
        <v>message.debitaccount.country</v>
      </c>
    </row>
    <row r="284" spans="1:6">
      <c r="A284" s="25" t="s">
        <v>620</v>
      </c>
      <c r="B284" s="25" t="s">
        <v>551</v>
      </c>
      <c r="C284" s="25" t="s">
        <v>387</v>
      </c>
      <c r="D284" s="32">
        <v>2</v>
      </c>
      <c r="E284" s="25" t="s">
        <v>388</v>
      </c>
      <c r="F284" s="25" t="str">
        <f t="shared" si="5"/>
        <v>message.debitaccount.balanceAlternateType</v>
      </c>
    </row>
    <row r="285" spans="1:6">
      <c r="A285" s="25" t="s">
        <v>620</v>
      </c>
      <c r="B285" s="25" t="s">
        <v>534</v>
      </c>
      <c r="C285" s="25" t="s">
        <v>387</v>
      </c>
      <c r="D285" s="32">
        <v>15</v>
      </c>
      <c r="E285" s="25" t="s">
        <v>388</v>
      </c>
      <c r="F285" s="25" t="str">
        <f t="shared" si="5"/>
        <v>message.debitaccount.businessIdentifierCode</v>
      </c>
    </row>
    <row r="286" spans="1:6">
      <c r="A286" s="25" t="s">
        <v>620</v>
      </c>
      <c r="B286" s="25" t="s">
        <v>533</v>
      </c>
      <c r="C286" s="25" t="s">
        <v>387</v>
      </c>
      <c r="D286" s="32">
        <v>3</v>
      </c>
      <c r="E286" s="25" t="s">
        <v>388</v>
      </c>
      <c r="F286" s="25" t="str">
        <f t="shared" si="5"/>
        <v>message.debitaccount.countryCode</v>
      </c>
    </row>
    <row r="287" spans="1:6">
      <c r="A287" s="25" t="s">
        <v>620</v>
      </c>
      <c r="B287" s="25" t="s">
        <v>535</v>
      </c>
      <c r="C287" s="25" t="s">
        <v>387</v>
      </c>
      <c r="D287" s="32">
        <v>15</v>
      </c>
      <c r="E287" s="25" t="s">
        <v>388</v>
      </c>
      <c r="F287" s="25" t="str">
        <f t="shared" si="5"/>
        <v>message.debitaccount.postcode</v>
      </c>
    </row>
    <row r="288" spans="1:6">
      <c r="A288" s="25" t="s">
        <v>620</v>
      </c>
      <c r="B288" s="25" t="s">
        <v>532</v>
      </c>
      <c r="C288" s="25" t="s">
        <v>387</v>
      </c>
      <c r="D288" s="32">
        <v>3</v>
      </c>
      <c r="E288" s="25" t="s">
        <v>388</v>
      </c>
      <c r="F288" s="25" t="str">
        <f t="shared" si="5"/>
        <v>message.debitaccount.repaymentSchedule</v>
      </c>
    </row>
    <row r="289" spans="1:6">
      <c r="A289" s="25" t="s">
        <v>620</v>
      </c>
      <c r="B289" s="25" t="s">
        <v>537</v>
      </c>
      <c r="C289" s="25" t="s">
        <v>387</v>
      </c>
      <c r="D289" s="32">
        <v>36</v>
      </c>
      <c r="E289" s="25" t="s">
        <v>388</v>
      </c>
      <c r="F289" s="25" t="str">
        <f t="shared" si="5"/>
        <v>message.debitaccount.city</v>
      </c>
    </row>
    <row r="290" spans="1:6">
      <c r="A290" s="25" t="s">
        <v>620</v>
      </c>
      <c r="B290" s="25" t="s">
        <v>539</v>
      </c>
      <c r="C290" s="25" t="s">
        <v>387</v>
      </c>
      <c r="D290" s="32">
        <v>36</v>
      </c>
      <c r="E290" s="25" t="s">
        <v>388</v>
      </c>
      <c r="F290" s="25" t="str">
        <f t="shared" si="5"/>
        <v>message.debitaccount.state</v>
      </c>
    </row>
    <row r="291" spans="1:6">
      <c r="A291" s="25" t="s">
        <v>620</v>
      </c>
      <c r="B291" s="25" t="s">
        <v>544</v>
      </c>
      <c r="C291" s="25" t="s">
        <v>387</v>
      </c>
      <c r="D291" s="32">
        <v>100</v>
      </c>
      <c r="E291" s="25" t="s">
        <v>388</v>
      </c>
      <c r="F291" s="25" t="str">
        <f t="shared" si="5"/>
        <v>message.debitaccount.number</v>
      </c>
    </row>
    <row r="292" spans="1:6">
      <c r="A292" s="25" t="s">
        <v>620</v>
      </c>
      <c r="B292" s="25" t="s">
        <v>553</v>
      </c>
      <c r="C292" s="25" t="s">
        <v>387</v>
      </c>
      <c r="D292" s="32">
        <v>50</v>
      </c>
      <c r="E292" s="25" t="s">
        <v>388</v>
      </c>
      <c r="F292" s="25" t="str">
        <f t="shared" si="5"/>
        <v>message.debitaccount.iban</v>
      </c>
    </row>
    <row r="293" spans="1:6">
      <c r="A293" s="25" t="s">
        <v>620</v>
      </c>
      <c r="B293" s="25" t="s">
        <v>552</v>
      </c>
      <c r="C293" s="25" t="s">
        <v>387</v>
      </c>
      <c r="D293" s="32">
        <v>3</v>
      </c>
      <c r="E293" s="25" t="s">
        <v>388</v>
      </c>
      <c r="F293" s="25" t="str">
        <f t="shared" si="5"/>
        <v>message.debitaccount.delinquencyStatus</v>
      </c>
    </row>
    <row r="294" spans="1:6">
      <c r="A294" s="25" t="s">
        <v>620</v>
      </c>
      <c r="B294" s="25" t="s">
        <v>540</v>
      </c>
      <c r="C294" s="25" t="s">
        <v>418</v>
      </c>
      <c r="E294" s="25" t="s">
        <v>388</v>
      </c>
      <c r="F294" s="25" t="str">
        <f t="shared" si="5"/>
        <v>message.debitaccount.overdraftLimit</v>
      </c>
    </row>
    <row r="295" spans="1:6">
      <c r="A295" s="25" t="s">
        <v>620</v>
      </c>
      <c r="B295" s="25" t="s">
        <v>547</v>
      </c>
      <c r="C295" s="25" t="s">
        <v>387</v>
      </c>
      <c r="D295" s="32">
        <v>3</v>
      </c>
      <c r="E295" s="25" t="s">
        <v>388</v>
      </c>
      <c r="F295" s="25" t="str">
        <f t="shared" si="5"/>
        <v>message.debitaccount.spendLimitType</v>
      </c>
    </row>
    <row r="296" spans="1:6">
      <c r="A296" s="25" t="s">
        <v>620</v>
      </c>
      <c r="B296" s="25" t="s">
        <v>549</v>
      </c>
      <c r="C296" s="25" t="s">
        <v>387</v>
      </c>
      <c r="D296" s="32">
        <v>2</v>
      </c>
      <c r="E296" s="25" t="s">
        <v>388</v>
      </c>
      <c r="F296" s="25" t="str">
        <f t="shared" si="5"/>
        <v>message.debitaccount.balanceType</v>
      </c>
    </row>
    <row r="297" spans="1:6">
      <c r="A297" s="25" t="s">
        <v>620</v>
      </c>
      <c r="B297" s="25" t="s">
        <v>555</v>
      </c>
      <c r="C297" s="25" t="s">
        <v>418</v>
      </c>
      <c r="E297" s="25" t="s">
        <v>388</v>
      </c>
      <c r="F297" s="25" t="str">
        <f t="shared" si="5"/>
        <v>message.debitaccount.availableBalance</v>
      </c>
    </row>
    <row r="298" spans="1:6">
      <c r="A298" s="25" t="s">
        <v>620</v>
      </c>
      <c r="B298" s="25" t="s">
        <v>542</v>
      </c>
      <c r="C298" s="25" t="s">
        <v>418</v>
      </c>
      <c r="E298" s="25" t="s">
        <v>388</v>
      </c>
      <c r="F298" s="25" t="str">
        <f t="shared" si="5"/>
        <v>message.debitaccount.repaymentAmount</v>
      </c>
    </row>
    <row r="299" spans="1:6">
      <c r="A299" s="25" t="s">
        <v>620</v>
      </c>
      <c r="B299" s="25" t="s">
        <v>440</v>
      </c>
      <c r="C299" s="25" t="s">
        <v>396</v>
      </c>
      <c r="E299" s="25" t="s">
        <v>388</v>
      </c>
      <c r="F299" s="25" t="str">
        <f t="shared" si="5"/>
        <v>message.debitaccount.openDt</v>
      </c>
    </row>
    <row r="300" spans="1:6">
      <c r="A300" s="25" t="s">
        <v>620</v>
      </c>
      <c r="B300" s="25" t="s">
        <v>548</v>
      </c>
      <c r="C300" s="25" t="s">
        <v>387</v>
      </c>
      <c r="D300" s="32">
        <v>50</v>
      </c>
      <c r="E300" s="25" t="s">
        <v>388</v>
      </c>
      <c r="F300" s="25" t="str">
        <f t="shared" si="5"/>
        <v>message.debitaccount.bankName</v>
      </c>
    </row>
    <row r="301" spans="1:6">
      <c r="A301" s="25" t="s">
        <v>620</v>
      </c>
      <c r="B301" s="25" t="s">
        <v>538</v>
      </c>
      <c r="C301" s="25" t="s">
        <v>418</v>
      </c>
      <c r="E301" s="25" t="s">
        <v>388</v>
      </c>
      <c r="F301" s="25" t="str">
        <f t="shared" si="5"/>
        <v>message.debitaccount.openBalance</v>
      </c>
    </row>
    <row r="302" spans="1:6">
      <c r="A302" s="25" t="s">
        <v>620</v>
      </c>
      <c r="B302" s="25" t="s">
        <v>541</v>
      </c>
      <c r="C302" s="25" t="s">
        <v>387</v>
      </c>
      <c r="D302" s="32">
        <v>15</v>
      </c>
      <c r="E302" s="25" t="s">
        <v>388</v>
      </c>
      <c r="F302" s="25" t="str">
        <f t="shared" si="5"/>
        <v>message.debitaccount.swiftCode</v>
      </c>
    </row>
    <row r="303" spans="1:6">
      <c r="A303" s="25" t="s">
        <v>621</v>
      </c>
      <c r="B303" s="25" t="s">
        <v>585</v>
      </c>
      <c r="C303" s="25" t="s">
        <v>387</v>
      </c>
      <c r="D303" s="32">
        <v>1</v>
      </c>
      <c r="E303" s="25" t="s">
        <v>388</v>
      </c>
      <c r="F303" s="25" t="str">
        <f t="shared" si="5"/>
        <v>message.debitcard.activationChannelInd</v>
      </c>
    </row>
    <row r="304" spans="1:6">
      <c r="A304" s="25" t="s">
        <v>621</v>
      </c>
      <c r="B304" s="25" t="s">
        <v>421</v>
      </c>
      <c r="C304" s="25" t="s">
        <v>387</v>
      </c>
      <c r="D304" s="32">
        <v>80</v>
      </c>
      <c r="E304" s="25" t="s">
        <v>388</v>
      </c>
      <c r="F304" s="25" t="str">
        <f t="shared" si="5"/>
        <v>message.debitcard.category</v>
      </c>
    </row>
    <row r="305" spans="1:6">
      <c r="A305" s="25" t="s">
        <v>621</v>
      </c>
      <c r="B305" s="25" t="s">
        <v>595</v>
      </c>
      <c r="C305" s="25" t="s">
        <v>396</v>
      </c>
      <c r="E305" s="25" t="s">
        <v>388</v>
      </c>
      <c r="F305" s="25" t="str">
        <f t="shared" ref="F305:F336" si="6">CONCATENATE("message.",A305,".",B305)</f>
        <v>message.debitcard.activationDt</v>
      </c>
    </row>
    <row r="306" spans="1:6">
      <c r="A306" s="25" t="s">
        <v>621</v>
      </c>
      <c r="B306" s="25" t="s">
        <v>566</v>
      </c>
      <c r="C306" s="25" t="s">
        <v>387</v>
      </c>
      <c r="D306" s="32">
        <v>3</v>
      </c>
      <c r="E306" s="25" t="s">
        <v>388</v>
      </c>
      <c r="F306" s="25" t="str">
        <f t="shared" si="6"/>
        <v>message.debitcard.cardholderCountry</v>
      </c>
    </row>
    <row r="307" spans="1:6">
      <c r="A307" s="25" t="s">
        <v>621</v>
      </c>
      <c r="B307" s="25" t="s">
        <v>570</v>
      </c>
      <c r="C307" s="25" t="s">
        <v>387</v>
      </c>
      <c r="D307" s="32">
        <v>1</v>
      </c>
      <c r="E307" s="25" t="s">
        <v>388</v>
      </c>
      <c r="F307" s="25" t="str">
        <f t="shared" si="6"/>
        <v>message.debitcard.statusInd</v>
      </c>
    </row>
    <row r="308" spans="1:6">
      <c r="A308" s="25" t="s">
        <v>621</v>
      </c>
      <c r="B308" s="25" t="s">
        <v>599</v>
      </c>
      <c r="C308" s="25" t="s">
        <v>387</v>
      </c>
      <c r="D308" s="32">
        <v>4</v>
      </c>
      <c r="E308" s="25" t="s">
        <v>388</v>
      </c>
      <c r="F308" s="25" t="str">
        <f t="shared" si="6"/>
        <v>message.debitcard.expirationDt</v>
      </c>
    </row>
    <row r="309" spans="1:6">
      <c r="A309" s="25" t="s">
        <v>621</v>
      </c>
      <c r="B309" s="25" t="s">
        <v>592</v>
      </c>
      <c r="C309" s="25" t="s">
        <v>387</v>
      </c>
      <c r="D309" s="32">
        <v>80</v>
      </c>
      <c r="E309" s="25" t="s">
        <v>388</v>
      </c>
      <c r="F309" s="25" t="str">
        <f t="shared" si="6"/>
        <v>message.debitcard.holderEmbossedName</v>
      </c>
    </row>
    <row r="310" spans="1:6">
      <c r="A310" s="25" t="s">
        <v>621</v>
      </c>
      <c r="B310" s="25" t="s">
        <v>562</v>
      </c>
      <c r="C310" s="25" t="s">
        <v>387</v>
      </c>
      <c r="D310" s="32">
        <v>3</v>
      </c>
      <c r="E310" s="25" t="s">
        <v>388</v>
      </c>
      <c r="F310" s="25" t="str">
        <f t="shared" si="6"/>
        <v>message.debitcard.issuingCountryCode</v>
      </c>
    </row>
    <row r="311" spans="1:6">
      <c r="A311" s="25" t="s">
        <v>621</v>
      </c>
      <c r="B311" s="25" t="s">
        <v>547</v>
      </c>
      <c r="C311" s="25" t="s">
        <v>387</v>
      </c>
      <c r="D311" s="32">
        <v>3</v>
      </c>
      <c r="E311" s="25" t="s">
        <v>388</v>
      </c>
      <c r="F311" s="25" t="str">
        <f t="shared" si="6"/>
        <v>message.debitcard.spendLimitType</v>
      </c>
    </row>
    <row r="312" spans="1:6">
      <c r="A312" s="25" t="s">
        <v>621</v>
      </c>
      <c r="B312" s="25" t="s">
        <v>589</v>
      </c>
      <c r="C312" s="25" t="s">
        <v>387</v>
      </c>
      <c r="D312" s="32">
        <v>80</v>
      </c>
      <c r="E312" s="25" t="s">
        <v>388</v>
      </c>
      <c r="F312" s="25" t="str">
        <f t="shared" si="6"/>
        <v>message.debitcard.issuingBank</v>
      </c>
    </row>
    <row r="313" spans="1:6">
      <c r="A313" s="25" t="s">
        <v>621</v>
      </c>
      <c r="B313" s="25" t="s">
        <v>565</v>
      </c>
      <c r="C313" s="25" t="s">
        <v>396</v>
      </c>
      <c r="E313" s="25" t="s">
        <v>388</v>
      </c>
      <c r="F313" s="25" t="str">
        <f t="shared" si="6"/>
        <v>message.debitcard.lastLimitChangeDt</v>
      </c>
    </row>
    <row r="314" spans="1:6">
      <c r="A314" s="25" t="s">
        <v>621</v>
      </c>
      <c r="B314" s="25" t="s">
        <v>576</v>
      </c>
      <c r="C314" s="25" t="s">
        <v>418</v>
      </c>
      <c r="E314" s="25" t="s">
        <v>388</v>
      </c>
      <c r="F314" s="25" t="str">
        <f t="shared" si="6"/>
        <v>message.debitcard.lastLimit</v>
      </c>
    </row>
    <row r="315" spans="1:6">
      <c r="A315" s="25" t="s">
        <v>621</v>
      </c>
      <c r="B315" s="25" t="s">
        <v>591</v>
      </c>
      <c r="C315" s="25" t="s">
        <v>387</v>
      </c>
      <c r="D315" s="32">
        <v>3</v>
      </c>
      <c r="E315" s="25" t="s">
        <v>388</v>
      </c>
      <c r="F315" s="25" t="str">
        <f t="shared" si="6"/>
        <v>message.debitcard.cardholderCountryCode</v>
      </c>
    </row>
    <row r="316" spans="1:6">
      <c r="A316" s="25" t="s">
        <v>621</v>
      </c>
      <c r="B316" s="25" t="s">
        <v>577</v>
      </c>
      <c r="C316" s="25" t="s">
        <v>387</v>
      </c>
      <c r="D316" s="32">
        <v>80</v>
      </c>
      <c r="E316" s="25" t="s">
        <v>388</v>
      </c>
      <c r="F316" s="25" t="str">
        <f t="shared" si="6"/>
        <v>message.debitcard.binCategory</v>
      </c>
    </row>
    <row r="317" spans="1:6">
      <c r="A317" s="25" t="s">
        <v>621</v>
      </c>
      <c r="B317" s="25" t="s">
        <v>588</v>
      </c>
      <c r="C317" s="25" t="s">
        <v>396</v>
      </c>
      <c r="E317" s="25" t="s">
        <v>388</v>
      </c>
      <c r="F317" s="25" t="str">
        <f t="shared" si="6"/>
        <v>message.debitcard.issueDt</v>
      </c>
    </row>
    <row r="318" spans="1:6">
      <c r="A318" s="25" t="s">
        <v>621</v>
      </c>
      <c r="B318" s="25" t="s">
        <v>590</v>
      </c>
      <c r="C318" s="25" t="s">
        <v>396</v>
      </c>
      <c r="E318" s="25" t="s">
        <v>388</v>
      </c>
      <c r="F318" s="25" t="str">
        <f t="shared" si="6"/>
        <v>message.debitcard.invalidPinDt</v>
      </c>
    </row>
    <row r="319" spans="1:6">
      <c r="A319" s="25" t="s">
        <v>621</v>
      </c>
      <c r="B319" s="25" t="s">
        <v>550</v>
      </c>
      <c r="C319" s="25" t="s">
        <v>418</v>
      </c>
      <c r="E319" s="25" t="s">
        <v>388</v>
      </c>
      <c r="F319" s="25" t="str">
        <f t="shared" si="6"/>
        <v>message.debitcard.spendLimit</v>
      </c>
    </row>
    <row r="320" spans="1:6">
      <c r="A320" s="25" t="s">
        <v>621</v>
      </c>
      <c r="B320" s="25" t="s">
        <v>583</v>
      </c>
      <c r="C320" s="25" t="s">
        <v>387</v>
      </c>
      <c r="D320" s="32">
        <v>80</v>
      </c>
      <c r="E320" s="25" t="s">
        <v>388</v>
      </c>
      <c r="F320" s="25" t="str">
        <f t="shared" si="6"/>
        <v>message.debitcard.holderName</v>
      </c>
    </row>
    <row r="321" spans="1:6">
      <c r="A321" s="25" t="s">
        <v>621</v>
      </c>
      <c r="B321" s="25" t="s">
        <v>567</v>
      </c>
      <c r="C321" s="25" t="s">
        <v>418</v>
      </c>
      <c r="E321" s="25" t="s">
        <v>388</v>
      </c>
      <c r="F321" s="25" t="str">
        <f t="shared" si="6"/>
        <v>message.debitcard.limit</v>
      </c>
    </row>
    <row r="322" spans="1:6">
      <c r="A322" s="25" t="s">
        <v>621</v>
      </c>
      <c r="B322" s="25" t="s">
        <v>563</v>
      </c>
      <c r="C322" s="25" t="s">
        <v>387</v>
      </c>
      <c r="D322" s="32">
        <v>10</v>
      </c>
      <c r="E322" s="25" t="s">
        <v>388</v>
      </c>
      <c r="F322" s="25" t="str">
        <f t="shared" si="6"/>
        <v>message.debitcard.whichCard</v>
      </c>
    </row>
    <row r="323" spans="1:6">
      <c r="A323" s="25" t="s">
        <v>621</v>
      </c>
      <c r="B323" s="25" t="s">
        <v>578</v>
      </c>
      <c r="C323" s="25" t="s">
        <v>387</v>
      </c>
      <c r="D323" s="32">
        <v>100</v>
      </c>
      <c r="E323" s="25" t="s">
        <v>388</v>
      </c>
      <c r="F323" s="25" t="str">
        <f t="shared" si="6"/>
        <v>message.debitcard.accountNumber</v>
      </c>
    </row>
    <row r="324" spans="1:6">
      <c r="A324" s="25" t="s">
        <v>621</v>
      </c>
      <c r="B324" s="25" t="s">
        <v>574</v>
      </c>
      <c r="C324" s="25" t="s">
        <v>396</v>
      </c>
      <c r="E324" s="25" t="s">
        <v>388</v>
      </c>
      <c r="F324" s="25" t="str">
        <f t="shared" si="6"/>
        <v>message.debitcard.blockDt</v>
      </c>
    </row>
    <row r="325" spans="1:6">
      <c r="A325" s="25" t="s">
        <v>621</v>
      </c>
      <c r="B325" s="25" t="s">
        <v>601</v>
      </c>
      <c r="C325" s="25" t="s">
        <v>387</v>
      </c>
      <c r="D325" s="32">
        <v>11</v>
      </c>
      <c r="E325" s="25" t="s">
        <v>388</v>
      </c>
      <c r="F325" s="25" t="str">
        <f t="shared" si="6"/>
        <v>message.debitcard.bin</v>
      </c>
    </row>
    <row r="326" spans="1:6">
      <c r="A326" s="25" t="s">
        <v>621</v>
      </c>
      <c r="B326" s="25" t="s">
        <v>581</v>
      </c>
      <c r="C326" s="25" t="s">
        <v>396</v>
      </c>
      <c r="E326" s="25" t="s">
        <v>388</v>
      </c>
      <c r="F326" s="25" t="str">
        <f t="shared" si="6"/>
        <v>message.debitcard.lastPinDt</v>
      </c>
    </row>
    <row r="327" spans="1:6">
      <c r="A327" s="25" t="s">
        <v>621</v>
      </c>
      <c r="B327" s="25" t="s">
        <v>586</v>
      </c>
      <c r="C327" s="25" t="s">
        <v>387</v>
      </c>
      <c r="D327" s="32">
        <v>10</v>
      </c>
      <c r="E327" s="25" t="s">
        <v>388</v>
      </c>
      <c r="F327" s="25" t="str">
        <f t="shared" si="6"/>
        <v>message.debitcard.cardMedia</v>
      </c>
    </row>
    <row r="328" spans="1:6">
      <c r="A328" s="25" t="s">
        <v>621</v>
      </c>
      <c r="B328" s="25" t="s">
        <v>575</v>
      </c>
      <c r="C328" s="25" t="s">
        <v>387</v>
      </c>
      <c r="D328" s="32">
        <v>3</v>
      </c>
      <c r="E328" s="25" t="s">
        <v>388</v>
      </c>
      <c r="F328" s="25" t="str">
        <f t="shared" si="6"/>
        <v>message.debitcard.issuingCountry</v>
      </c>
    </row>
    <row r="329" spans="1:6">
      <c r="A329" s="25" t="s">
        <v>621</v>
      </c>
      <c r="B329" s="25" t="s">
        <v>571</v>
      </c>
      <c r="C329" s="25" t="s">
        <v>387</v>
      </c>
      <c r="D329" s="32">
        <v>10</v>
      </c>
      <c r="E329" s="25" t="s">
        <v>388</v>
      </c>
      <c r="F329" s="25" t="str">
        <f t="shared" si="6"/>
        <v>message.debitcard.sequenceNumber</v>
      </c>
    </row>
    <row r="330" spans="1:6">
      <c r="A330" s="25" t="s">
        <v>621</v>
      </c>
      <c r="B330" s="25" t="s">
        <v>561</v>
      </c>
      <c r="C330" s="25" t="s">
        <v>387</v>
      </c>
      <c r="D330" s="32">
        <v>32</v>
      </c>
      <c r="E330" s="25" t="s">
        <v>388</v>
      </c>
      <c r="F330" s="25" t="str">
        <f t="shared" si="6"/>
        <v>message.debitcard.marker</v>
      </c>
    </row>
    <row r="331" spans="1:6">
      <c r="A331" s="25" t="s">
        <v>621</v>
      </c>
      <c r="B331" s="25" t="s">
        <v>580</v>
      </c>
      <c r="C331" s="25" t="s">
        <v>387</v>
      </c>
      <c r="D331" s="32">
        <v>4</v>
      </c>
      <c r="E331" s="25" t="s">
        <v>388</v>
      </c>
      <c r="F331" s="25" t="str">
        <f t="shared" si="6"/>
        <v>message.debitcard.lastFourDigits</v>
      </c>
    </row>
    <row r="332" spans="1:6">
      <c r="A332" s="25" t="s">
        <v>621</v>
      </c>
      <c r="B332" s="25" t="s">
        <v>598</v>
      </c>
      <c r="C332" s="25" t="s">
        <v>387</v>
      </c>
      <c r="D332" s="32">
        <v>4</v>
      </c>
      <c r="E332" s="25" t="s">
        <v>388</v>
      </c>
      <c r="F332" s="25" t="str">
        <f t="shared" si="6"/>
        <v>message.debitcard.expirationYear</v>
      </c>
    </row>
    <row r="333" spans="1:6">
      <c r="A333" s="25" t="s">
        <v>621</v>
      </c>
      <c r="B333" s="25" t="s">
        <v>587</v>
      </c>
      <c r="C333" s="25" t="s">
        <v>387</v>
      </c>
      <c r="D333" s="32">
        <v>3</v>
      </c>
      <c r="E333" s="25" t="s">
        <v>388</v>
      </c>
      <c r="F333" s="25" t="str">
        <f t="shared" si="6"/>
        <v>message.debitcard.issueType</v>
      </c>
    </row>
    <row r="334" spans="1:6">
      <c r="A334" s="25" t="s">
        <v>621</v>
      </c>
      <c r="B334" s="25" t="s">
        <v>544</v>
      </c>
      <c r="C334" s="25" t="s">
        <v>387</v>
      </c>
      <c r="D334" s="32">
        <v>80</v>
      </c>
      <c r="E334" s="25" t="s">
        <v>388</v>
      </c>
      <c r="F334" s="25" t="str">
        <f t="shared" si="6"/>
        <v>message.debitcard.number</v>
      </c>
    </row>
    <row r="335" spans="1:6">
      <c r="A335" s="25" t="s">
        <v>621</v>
      </c>
      <c r="B335" s="25" t="s">
        <v>515</v>
      </c>
      <c r="C335" s="25" t="s">
        <v>387</v>
      </c>
      <c r="D335" s="32">
        <v>40</v>
      </c>
      <c r="E335" s="25" t="s">
        <v>388</v>
      </c>
      <c r="F335" s="25" t="str">
        <f t="shared" si="6"/>
        <v>message.debitcard.typeDesc</v>
      </c>
    </row>
    <row r="336" spans="1:6">
      <c r="A336" s="25" t="s">
        <v>621</v>
      </c>
      <c r="B336" s="25" t="s">
        <v>559</v>
      </c>
      <c r="C336" s="25" t="s">
        <v>387</v>
      </c>
      <c r="D336" s="32">
        <v>80</v>
      </c>
      <c r="E336" s="25" t="s">
        <v>388</v>
      </c>
      <c r="F336" s="25" t="str">
        <f t="shared" si="6"/>
        <v>message.debitcard.securityCodePfToken</v>
      </c>
    </row>
    <row r="337" spans="1:6">
      <c r="A337" s="25" t="s">
        <v>621</v>
      </c>
      <c r="B337" s="25" t="s">
        <v>569</v>
      </c>
      <c r="C337" s="25" t="s">
        <v>387</v>
      </c>
      <c r="D337" s="32">
        <v>10</v>
      </c>
      <c r="E337" s="25" t="s">
        <v>388</v>
      </c>
      <c r="F337" s="25" t="str">
        <f t="shared" ref="F337:F368" si="7">CONCATENATE("message.",A337,".",B337)</f>
        <v>message.debitcard.cardPurpose</v>
      </c>
    </row>
    <row r="338" spans="1:6">
      <c r="A338" s="25" t="s">
        <v>621</v>
      </c>
      <c r="B338" s="25" t="s">
        <v>596</v>
      </c>
      <c r="C338" s="25" t="s">
        <v>387</v>
      </c>
      <c r="D338" s="32">
        <v>4</v>
      </c>
      <c r="E338" s="25" t="s">
        <v>388</v>
      </c>
      <c r="F338" s="25" t="str">
        <f t="shared" si="7"/>
        <v>message.debitcard.messageExpirationDt</v>
      </c>
    </row>
    <row r="339" spans="1:6">
      <c r="A339" s="25" t="s">
        <v>621</v>
      </c>
      <c r="B339" s="25" t="s">
        <v>572</v>
      </c>
      <c r="C339" s="25" t="s">
        <v>387</v>
      </c>
      <c r="D339" s="32">
        <v>32</v>
      </c>
      <c r="E339" s="25" t="s">
        <v>388</v>
      </c>
      <c r="F339" s="25" t="str">
        <f t="shared" si="7"/>
        <v>message.debitcard.blockCode</v>
      </c>
    </row>
    <row r="340" spans="1:6">
      <c r="A340" s="25" t="s">
        <v>621</v>
      </c>
      <c r="B340" s="25" t="s">
        <v>564</v>
      </c>
      <c r="C340" s="25" t="s">
        <v>387</v>
      </c>
      <c r="D340" s="32">
        <v>2</v>
      </c>
      <c r="E340" s="25" t="s">
        <v>388</v>
      </c>
      <c r="F340" s="25" t="str">
        <f t="shared" si="7"/>
        <v>message.debitcard.expirationMonth</v>
      </c>
    </row>
    <row r="341" spans="1:6">
      <c r="A341" s="25" t="s">
        <v>621</v>
      </c>
      <c r="B341" s="25" t="s">
        <v>560</v>
      </c>
      <c r="C341" s="25" t="s">
        <v>387</v>
      </c>
      <c r="D341" s="32">
        <v>15</v>
      </c>
      <c r="E341" s="25" t="s">
        <v>388</v>
      </c>
      <c r="F341" s="25" t="str">
        <f t="shared" si="7"/>
        <v>message.debitcard.cardholderPostcode</v>
      </c>
    </row>
    <row r="342" spans="1:6">
      <c r="A342" s="25" t="s">
        <v>621</v>
      </c>
      <c r="B342" s="25" t="s">
        <v>410</v>
      </c>
      <c r="C342" s="25" t="s">
        <v>387</v>
      </c>
      <c r="D342" s="32">
        <v>3</v>
      </c>
      <c r="E342" s="25" t="s">
        <v>388</v>
      </c>
      <c r="F342" s="25" t="str">
        <f t="shared" si="7"/>
        <v>message.debitcard.type</v>
      </c>
    </row>
    <row r="343" spans="1:6">
      <c r="A343" s="25" t="s">
        <v>621</v>
      </c>
      <c r="B343" s="25" t="s">
        <v>582</v>
      </c>
      <c r="C343" s="25" t="s">
        <v>387</v>
      </c>
      <c r="D343" s="32">
        <v>4</v>
      </c>
      <c r="E343" s="25" t="s">
        <v>388</v>
      </c>
      <c r="F343" s="25" t="str">
        <f t="shared" si="7"/>
        <v>message.debitcard.lastExpiration</v>
      </c>
    </row>
    <row r="344" spans="1:6">
      <c r="A344" s="25" t="s">
        <v>621</v>
      </c>
      <c r="B344" s="25" t="s">
        <v>568</v>
      </c>
      <c r="C344" s="25" t="s">
        <v>413</v>
      </c>
      <c r="E344" s="25" t="s">
        <v>388</v>
      </c>
      <c r="F344" s="25" t="str">
        <f t="shared" si="7"/>
        <v>message.debitcard.invalidPinTries</v>
      </c>
    </row>
    <row r="345" spans="1:6">
      <c r="A345" s="25" t="s">
        <v>622</v>
      </c>
      <c r="B345" s="25" t="s">
        <v>623</v>
      </c>
      <c r="C345" s="25" t="s">
        <v>387</v>
      </c>
      <c r="D345" s="32">
        <v>100</v>
      </c>
      <c r="E345" s="25" t="s">
        <v>388</v>
      </c>
      <c r="F345" s="25" t="str">
        <f t="shared" si="7"/>
        <v>message.demographic.newData2</v>
      </c>
    </row>
    <row r="346" spans="1:6">
      <c r="A346" s="25" t="s">
        <v>622</v>
      </c>
      <c r="B346" s="25" t="s">
        <v>410</v>
      </c>
      <c r="C346" s="25" t="s">
        <v>387</v>
      </c>
      <c r="D346" s="32">
        <v>3</v>
      </c>
      <c r="E346" s="25" t="s">
        <v>388</v>
      </c>
      <c r="F346" s="25" t="str">
        <f t="shared" si="7"/>
        <v>message.demographic.type</v>
      </c>
    </row>
    <row r="347" spans="1:6">
      <c r="A347" s="25" t="s">
        <v>622</v>
      </c>
      <c r="B347" s="25" t="s">
        <v>624</v>
      </c>
      <c r="C347" s="25" t="s">
        <v>387</v>
      </c>
      <c r="D347" s="32">
        <v>100</v>
      </c>
      <c r="E347" s="25" t="s">
        <v>388</v>
      </c>
      <c r="F347" s="25" t="str">
        <f t="shared" si="7"/>
        <v>message.demographic.previousData2</v>
      </c>
    </row>
    <row r="348" spans="1:6">
      <c r="A348" s="25" t="s">
        <v>622</v>
      </c>
      <c r="B348" s="25" t="s">
        <v>515</v>
      </c>
      <c r="C348" s="25" t="s">
        <v>387</v>
      </c>
      <c r="D348" s="32">
        <v>100</v>
      </c>
      <c r="E348" s="25" t="s">
        <v>388</v>
      </c>
      <c r="F348" s="25" t="str">
        <f t="shared" si="7"/>
        <v>message.demographic.typeDesc</v>
      </c>
    </row>
    <row r="349" spans="1:6">
      <c r="A349" s="25" t="s">
        <v>622</v>
      </c>
      <c r="B349" s="25" t="s">
        <v>471</v>
      </c>
      <c r="C349" s="25" t="s">
        <v>387</v>
      </c>
      <c r="D349" s="32">
        <v>3</v>
      </c>
      <c r="E349" s="25" t="s">
        <v>388</v>
      </c>
      <c r="F349" s="25" t="str">
        <f t="shared" si="7"/>
        <v>message.demographic.subType</v>
      </c>
    </row>
    <row r="350" spans="1:6">
      <c r="A350" s="25" t="s">
        <v>622</v>
      </c>
      <c r="B350" s="25" t="s">
        <v>625</v>
      </c>
      <c r="C350" s="25" t="s">
        <v>396</v>
      </c>
      <c r="E350" s="25" t="s">
        <v>388</v>
      </c>
      <c r="F350" s="25" t="str">
        <f t="shared" si="7"/>
        <v>message.demographic.effectiveDt</v>
      </c>
    </row>
    <row r="351" spans="1:6">
      <c r="A351" s="25" t="s">
        <v>622</v>
      </c>
      <c r="B351" s="25" t="s">
        <v>421</v>
      </c>
      <c r="C351" s="25" t="s">
        <v>387</v>
      </c>
      <c r="D351" s="32">
        <v>1</v>
      </c>
      <c r="E351" s="25" t="s">
        <v>388</v>
      </c>
      <c r="F351" s="25" t="str">
        <f t="shared" si="7"/>
        <v>message.demographic.category</v>
      </c>
    </row>
    <row r="352" spans="1:6">
      <c r="A352" s="25" t="s">
        <v>622</v>
      </c>
      <c r="B352" s="25" t="s">
        <v>439</v>
      </c>
      <c r="C352" s="25" t="s">
        <v>387</v>
      </c>
      <c r="D352" s="32">
        <v>80</v>
      </c>
      <c r="E352" s="25" t="s">
        <v>388</v>
      </c>
      <c r="F352" s="25" t="str">
        <f t="shared" si="7"/>
        <v>message.demographic.statusDesc</v>
      </c>
    </row>
    <row r="353" spans="1:6">
      <c r="A353" s="25" t="s">
        <v>622</v>
      </c>
      <c r="B353" s="25" t="s">
        <v>626</v>
      </c>
      <c r="C353" s="25" t="s">
        <v>387</v>
      </c>
      <c r="D353" s="32">
        <v>100</v>
      </c>
      <c r="E353" s="25" t="s">
        <v>388</v>
      </c>
      <c r="F353" s="25" t="str">
        <f t="shared" si="7"/>
        <v>message.demographic.newData3</v>
      </c>
    </row>
    <row r="354" spans="1:6">
      <c r="A354" s="25" t="s">
        <v>622</v>
      </c>
      <c r="B354" s="25" t="s">
        <v>627</v>
      </c>
      <c r="C354" s="25" t="s">
        <v>387</v>
      </c>
      <c r="D354" s="32">
        <v>100</v>
      </c>
      <c r="E354" s="25" t="s">
        <v>388</v>
      </c>
      <c r="F354" s="25" t="str">
        <f t="shared" si="7"/>
        <v>message.demographic.entityVariable</v>
      </c>
    </row>
    <row r="355" spans="1:6">
      <c r="A355" s="25" t="s">
        <v>622</v>
      </c>
      <c r="B355" s="25" t="s">
        <v>628</v>
      </c>
      <c r="C355" s="25" t="s">
        <v>387</v>
      </c>
      <c r="D355" s="32">
        <v>100</v>
      </c>
      <c r="E355" s="25" t="s">
        <v>388</v>
      </c>
      <c r="F355" s="25" t="str">
        <f t="shared" si="7"/>
        <v>message.demographic.previousData3</v>
      </c>
    </row>
    <row r="356" spans="1:6">
      <c r="A356" s="25" t="s">
        <v>622</v>
      </c>
      <c r="B356" s="25" t="s">
        <v>629</v>
      </c>
      <c r="C356" s="25" t="s">
        <v>387</v>
      </c>
      <c r="D356" s="32">
        <v>1</v>
      </c>
      <c r="E356" s="25" t="s">
        <v>388</v>
      </c>
      <c r="F356" s="25" t="str">
        <f t="shared" si="7"/>
        <v>message.demographic.entityInd</v>
      </c>
    </row>
    <row r="357" spans="1:6">
      <c r="A357" s="25" t="s">
        <v>622</v>
      </c>
      <c r="B357" s="25" t="s">
        <v>630</v>
      </c>
      <c r="C357" s="25" t="s">
        <v>387</v>
      </c>
      <c r="D357" s="32">
        <v>100</v>
      </c>
      <c r="E357" s="25" t="s">
        <v>388</v>
      </c>
      <c r="F357" s="25" t="str">
        <f t="shared" si="7"/>
        <v>message.demographic.newData</v>
      </c>
    </row>
    <row r="358" spans="1:6">
      <c r="A358" s="25" t="s">
        <v>622</v>
      </c>
      <c r="B358" s="25" t="s">
        <v>599</v>
      </c>
      <c r="C358" s="25" t="s">
        <v>396</v>
      </c>
      <c r="E358" s="25" t="s">
        <v>388</v>
      </c>
      <c r="F358" s="25" t="str">
        <f t="shared" si="7"/>
        <v>message.demographic.expirationDt</v>
      </c>
    </row>
    <row r="359" spans="1:6">
      <c r="A359" s="25" t="s">
        <v>622</v>
      </c>
      <c r="B359" s="25" t="s">
        <v>631</v>
      </c>
      <c r="C359" s="25" t="s">
        <v>387</v>
      </c>
      <c r="D359" s="32">
        <v>100</v>
      </c>
      <c r="E359" s="25" t="s">
        <v>388</v>
      </c>
      <c r="F359" s="25" t="str">
        <f t="shared" si="7"/>
        <v>message.demographic.previousData</v>
      </c>
    </row>
    <row r="360" spans="1:6">
      <c r="A360" s="25" t="s">
        <v>622</v>
      </c>
      <c r="B360" s="25" t="s">
        <v>464</v>
      </c>
      <c r="C360" s="25" t="s">
        <v>387</v>
      </c>
      <c r="D360" s="32">
        <v>1</v>
      </c>
      <c r="E360" s="25" t="s">
        <v>388</v>
      </c>
      <c r="F360" s="25" t="str">
        <f t="shared" si="7"/>
        <v>message.demographic.status</v>
      </c>
    </row>
    <row r="361" spans="1:6">
      <c r="A361" s="25" t="s">
        <v>632</v>
      </c>
      <c r="B361" s="25" t="s">
        <v>633</v>
      </c>
      <c r="C361" s="25" t="s">
        <v>387</v>
      </c>
      <c r="D361" s="32">
        <v>40</v>
      </c>
      <c r="E361" s="25" t="s">
        <v>388</v>
      </c>
      <c r="F361" s="25" t="str">
        <f t="shared" si="7"/>
        <v>message.device.ipRegion</v>
      </c>
    </row>
    <row r="362" spans="1:6">
      <c r="A362" s="25" t="s">
        <v>632</v>
      </c>
      <c r="B362" s="25" t="s">
        <v>634</v>
      </c>
      <c r="C362" s="25" t="s">
        <v>635</v>
      </c>
      <c r="D362" s="32">
        <v>40</v>
      </c>
      <c r="E362" s="25" t="s">
        <v>388</v>
      </c>
      <c r="F362" s="25" t="str">
        <f t="shared" si="7"/>
        <v>message.device.wifiNetworksInRange</v>
      </c>
    </row>
    <row r="363" spans="1:6">
      <c r="A363" s="25" t="s">
        <v>632</v>
      </c>
      <c r="B363" s="25" t="s">
        <v>636</v>
      </c>
      <c r="C363" s="25" t="s">
        <v>635</v>
      </c>
      <c r="D363" s="32">
        <v>40</v>
      </c>
      <c r="E363" s="25" t="s">
        <v>388</v>
      </c>
      <c r="F363" s="25" t="str">
        <f t="shared" si="7"/>
        <v>message.device.fingerprintType</v>
      </c>
    </row>
    <row r="364" spans="1:6">
      <c r="A364" s="25" t="s">
        <v>632</v>
      </c>
      <c r="B364" s="25" t="s">
        <v>637</v>
      </c>
      <c r="C364" s="25" t="s">
        <v>387</v>
      </c>
      <c r="D364" s="32">
        <v>1</v>
      </c>
      <c r="E364" s="25" t="s">
        <v>388</v>
      </c>
      <c r="F364" s="25" t="str">
        <f t="shared" si="7"/>
        <v>message.device.javascriptInd</v>
      </c>
    </row>
    <row r="365" spans="1:6">
      <c r="A365" s="25" t="s">
        <v>632</v>
      </c>
      <c r="B365" s="25" t="s">
        <v>638</v>
      </c>
      <c r="C365" s="25" t="s">
        <v>387</v>
      </c>
      <c r="D365" s="32">
        <v>40</v>
      </c>
      <c r="E365" s="25" t="s">
        <v>388</v>
      </c>
      <c r="F365" s="25" t="str">
        <f t="shared" si="7"/>
        <v>message.device.browserOperatingSystem</v>
      </c>
    </row>
    <row r="366" spans="1:6">
      <c r="A366" s="25" t="s">
        <v>632</v>
      </c>
      <c r="B366" s="25" t="s">
        <v>428</v>
      </c>
      <c r="C366" s="25" t="s">
        <v>418</v>
      </c>
      <c r="E366" s="25" t="s">
        <v>388</v>
      </c>
      <c r="F366" s="25" t="str">
        <f t="shared" si="7"/>
        <v>message.device.gmtOffset</v>
      </c>
    </row>
    <row r="367" spans="1:6">
      <c r="A367" s="25" t="s">
        <v>632</v>
      </c>
      <c r="B367" s="25" t="s">
        <v>639</v>
      </c>
      <c r="C367" s="25" t="s">
        <v>387</v>
      </c>
      <c r="D367" s="32">
        <v>40</v>
      </c>
      <c r="E367" s="25" t="s">
        <v>388</v>
      </c>
      <c r="F367" s="25" t="str">
        <f t="shared" si="7"/>
        <v>message.device.model</v>
      </c>
    </row>
    <row r="368" spans="1:6">
      <c r="A368" s="25" t="s">
        <v>632</v>
      </c>
      <c r="B368" s="25" t="s">
        <v>414</v>
      </c>
      <c r="C368" s="25" t="s">
        <v>387</v>
      </c>
      <c r="D368" s="32">
        <v>40</v>
      </c>
      <c r="E368" s="25" t="s">
        <v>388</v>
      </c>
      <c r="F368" s="25" t="str">
        <f t="shared" si="7"/>
        <v>message.device.language</v>
      </c>
    </row>
    <row r="369" spans="1:6">
      <c r="A369" s="25" t="s">
        <v>632</v>
      </c>
      <c r="B369" s="25" t="s">
        <v>640</v>
      </c>
      <c r="C369" s="25" t="s">
        <v>635</v>
      </c>
      <c r="D369" s="32">
        <v>40</v>
      </c>
      <c r="E369" s="25" t="s">
        <v>388</v>
      </c>
      <c r="F369" s="25" t="str">
        <f t="shared" ref="F369:F405" si="8">CONCATENATE("message.",A369,".",B369)</f>
        <v>message.device.bluetoothConnections</v>
      </c>
    </row>
    <row r="370" spans="1:6">
      <c r="A370" s="25" t="s">
        <v>632</v>
      </c>
      <c r="B370" s="25" t="s">
        <v>641</v>
      </c>
      <c r="C370" s="25" t="s">
        <v>387</v>
      </c>
      <c r="D370" s="32">
        <v>40</v>
      </c>
      <c r="E370" s="25" t="s">
        <v>388</v>
      </c>
      <c r="F370" s="25" t="str">
        <f t="shared" si="8"/>
        <v>message.device.ipPostCode</v>
      </c>
    </row>
    <row r="371" spans="1:6">
      <c r="A371" s="25" t="s">
        <v>632</v>
      </c>
      <c r="B371" s="25" t="s">
        <v>642</v>
      </c>
      <c r="C371" s="25" t="s">
        <v>424</v>
      </c>
      <c r="E371" s="25" t="s">
        <v>388</v>
      </c>
      <c r="F371" s="25" t="str">
        <f t="shared" si="8"/>
        <v>message.device.cookiesEnabledFlg</v>
      </c>
    </row>
    <row r="372" spans="1:6">
      <c r="A372" s="25" t="s">
        <v>632</v>
      </c>
      <c r="B372" s="25" t="s">
        <v>643</v>
      </c>
      <c r="C372" s="25" t="s">
        <v>387</v>
      </c>
      <c r="D372" s="32">
        <v>40</v>
      </c>
      <c r="E372" s="25" t="s">
        <v>388</v>
      </c>
      <c r="F372" s="25" t="str">
        <f t="shared" si="8"/>
        <v>message.device.operatingSystem</v>
      </c>
    </row>
    <row r="373" spans="1:6">
      <c r="A373" s="25" t="s">
        <v>632</v>
      </c>
      <c r="B373" s="25" t="s">
        <v>644</v>
      </c>
      <c r="C373" s="25" t="s">
        <v>387</v>
      </c>
      <c r="D373" s="32">
        <v>100</v>
      </c>
      <c r="E373" s="25" t="s">
        <v>388</v>
      </c>
      <c r="F373" s="25" t="str">
        <f t="shared" si="8"/>
        <v>message.device.ipCity</v>
      </c>
    </row>
    <row r="374" spans="1:6">
      <c r="A374" s="25" t="s">
        <v>632</v>
      </c>
      <c r="B374" s="25" t="s">
        <v>645</v>
      </c>
      <c r="C374" s="25" t="s">
        <v>418</v>
      </c>
      <c r="E374" s="25" t="s">
        <v>388</v>
      </c>
      <c r="F374" s="25" t="str">
        <f t="shared" si="8"/>
        <v>message.device.ipLatitude</v>
      </c>
    </row>
    <row r="375" spans="1:6">
      <c r="A375" s="25" t="s">
        <v>632</v>
      </c>
      <c r="B375" s="25" t="s">
        <v>646</v>
      </c>
      <c r="C375" s="25" t="s">
        <v>413</v>
      </c>
      <c r="E375" s="25" t="s">
        <v>388</v>
      </c>
      <c r="F375" s="25" t="str">
        <f t="shared" si="8"/>
        <v>message.device.screenWidth</v>
      </c>
    </row>
    <row r="376" spans="1:6">
      <c r="A376" s="25" t="s">
        <v>632</v>
      </c>
      <c r="B376" s="25" t="s">
        <v>647</v>
      </c>
      <c r="C376" s="25" t="s">
        <v>387</v>
      </c>
      <c r="D376" s="32">
        <v>100</v>
      </c>
      <c r="E376" s="25" t="s">
        <v>388</v>
      </c>
      <c r="F376" s="25" t="str">
        <f t="shared" si="8"/>
        <v>message.device.ipIsp</v>
      </c>
    </row>
    <row r="377" spans="1:6">
      <c r="A377" s="25" t="s">
        <v>632</v>
      </c>
      <c r="B377" s="25" t="s">
        <v>648</v>
      </c>
      <c r="C377" s="25" t="s">
        <v>387</v>
      </c>
      <c r="D377" s="32">
        <v>40</v>
      </c>
      <c r="E377" s="25" t="s">
        <v>388</v>
      </c>
      <c r="F377" s="25" t="str">
        <f t="shared" si="8"/>
        <v>message.device.cpu</v>
      </c>
    </row>
    <row r="378" spans="1:6">
      <c r="A378" s="25" t="s">
        <v>632</v>
      </c>
      <c r="B378" s="25" t="s">
        <v>649</v>
      </c>
      <c r="C378" s="25" t="s">
        <v>387</v>
      </c>
      <c r="D378" s="32">
        <v>40</v>
      </c>
      <c r="E378" s="25" t="s">
        <v>388</v>
      </c>
      <c r="F378" s="25" t="str">
        <f t="shared" si="8"/>
        <v>message.device.modelVersion</v>
      </c>
    </row>
    <row r="379" spans="1:6">
      <c r="A379" s="25" t="s">
        <v>632</v>
      </c>
      <c r="B379" s="25" t="s">
        <v>650</v>
      </c>
      <c r="C379" s="25" t="s">
        <v>424</v>
      </c>
      <c r="E379" s="25" t="s">
        <v>388</v>
      </c>
      <c r="F379" s="25" t="str">
        <f t="shared" si="8"/>
        <v>message.device.vpnEnabledFlg</v>
      </c>
    </row>
    <row r="380" spans="1:6">
      <c r="A380" s="25" t="s">
        <v>632</v>
      </c>
      <c r="B380" s="25" t="s">
        <v>410</v>
      </c>
      <c r="C380" s="25" t="s">
        <v>387</v>
      </c>
      <c r="D380" s="32">
        <v>3</v>
      </c>
      <c r="E380" s="25" t="s">
        <v>388</v>
      </c>
      <c r="F380" s="25" t="str">
        <f t="shared" si="8"/>
        <v>message.device.type</v>
      </c>
    </row>
    <row r="381" spans="1:6">
      <c r="A381" s="25" t="s">
        <v>632</v>
      </c>
      <c r="B381" s="25" t="s">
        <v>651</v>
      </c>
      <c r="C381" s="25" t="s">
        <v>418</v>
      </c>
      <c r="E381" s="25" t="s">
        <v>388</v>
      </c>
      <c r="F381" s="25" t="str">
        <f t="shared" si="8"/>
        <v>message.device.gpsLongitude</v>
      </c>
    </row>
    <row r="382" spans="1:6">
      <c r="A382" s="25" t="s">
        <v>632</v>
      </c>
      <c r="B382" s="25" t="s">
        <v>652</v>
      </c>
      <c r="C382" s="25" t="s">
        <v>387</v>
      </c>
      <c r="D382" s="32">
        <v>3</v>
      </c>
      <c r="E382" s="25" t="s">
        <v>388</v>
      </c>
      <c r="F382" s="25" t="str">
        <f t="shared" si="8"/>
        <v>message.device.ipCountryCode</v>
      </c>
    </row>
    <row r="383" spans="1:6">
      <c r="A383" s="25" t="s">
        <v>632</v>
      </c>
      <c r="B383" s="25" t="s">
        <v>653</v>
      </c>
      <c r="C383" s="25" t="s">
        <v>387</v>
      </c>
      <c r="D383" s="32">
        <v>40</v>
      </c>
      <c r="E383" s="25" t="s">
        <v>388</v>
      </c>
      <c r="F383" s="25" t="str">
        <f t="shared" si="8"/>
        <v>message.device.ipDistrict</v>
      </c>
    </row>
    <row r="384" spans="1:6">
      <c r="A384" s="25" t="s">
        <v>632</v>
      </c>
      <c r="B384" s="25" t="s">
        <v>654</v>
      </c>
      <c r="C384" s="25" t="s">
        <v>387</v>
      </c>
      <c r="D384" s="32">
        <v>40</v>
      </c>
      <c r="E384" s="25" t="s">
        <v>388</v>
      </c>
      <c r="F384" s="25" t="str">
        <f t="shared" si="8"/>
        <v>message.device.browserLanguage</v>
      </c>
    </row>
    <row r="385" spans="1:6">
      <c r="A385" s="25" t="s">
        <v>632</v>
      </c>
      <c r="B385" s="25" t="s">
        <v>655</v>
      </c>
      <c r="C385" s="25" t="s">
        <v>635</v>
      </c>
      <c r="D385" s="32">
        <v>200</v>
      </c>
      <c r="E385" s="25" t="s">
        <v>388</v>
      </c>
      <c r="F385" s="25" t="str">
        <f t="shared" si="8"/>
        <v>message.device.fingerprint</v>
      </c>
    </row>
    <row r="386" spans="1:6">
      <c r="A386" s="25" t="s">
        <v>632</v>
      </c>
      <c r="B386" s="25" t="s">
        <v>656</v>
      </c>
      <c r="C386" s="25" t="s">
        <v>387</v>
      </c>
      <c r="D386" s="32">
        <v>40</v>
      </c>
      <c r="E386" s="25" t="s">
        <v>388</v>
      </c>
      <c r="F386" s="25" t="str">
        <f t="shared" si="8"/>
        <v>message.device.ipDomain</v>
      </c>
    </row>
    <row r="387" spans="1:6">
      <c r="A387" s="25" t="s">
        <v>632</v>
      </c>
      <c r="B387" s="25" t="s">
        <v>657</v>
      </c>
      <c r="C387" s="25" t="s">
        <v>387</v>
      </c>
      <c r="D387" s="32">
        <v>40</v>
      </c>
      <c r="E387" s="25" t="s">
        <v>388</v>
      </c>
      <c r="F387" s="25" t="str">
        <f t="shared" si="8"/>
        <v>message.device.dataNetworkName</v>
      </c>
    </row>
    <row r="388" spans="1:6">
      <c r="A388" s="25" t="s">
        <v>632</v>
      </c>
      <c r="B388" s="25" t="s">
        <v>658</v>
      </c>
      <c r="C388" s="25" t="s">
        <v>635</v>
      </c>
      <c r="D388" s="32">
        <v>40</v>
      </c>
      <c r="E388" s="25" t="s">
        <v>388</v>
      </c>
      <c r="F388" s="25" t="str">
        <f t="shared" si="8"/>
        <v>message.device.bluetoothInRange</v>
      </c>
    </row>
    <row r="389" spans="1:6">
      <c r="A389" s="25" t="s">
        <v>632</v>
      </c>
      <c r="B389" s="25" t="s">
        <v>659</v>
      </c>
      <c r="C389" s="25" t="s">
        <v>413</v>
      </c>
      <c r="E389" s="25" t="s">
        <v>388</v>
      </c>
      <c r="F389" s="25" t="str">
        <f t="shared" si="8"/>
        <v>message.device.screenColor</v>
      </c>
    </row>
    <row r="390" spans="1:6">
      <c r="A390" s="25" t="s">
        <v>632</v>
      </c>
      <c r="B390" s="25" t="s">
        <v>660</v>
      </c>
      <c r="C390" s="25" t="s">
        <v>387</v>
      </c>
      <c r="D390" s="32">
        <v>40</v>
      </c>
      <c r="E390" s="25" t="s">
        <v>388</v>
      </c>
      <c r="F390" s="25" t="str">
        <f t="shared" si="8"/>
        <v>message.device.ipAddress</v>
      </c>
    </row>
    <row r="391" spans="1:6">
      <c r="A391" s="25" t="s">
        <v>632</v>
      </c>
      <c r="B391" s="25" t="s">
        <v>661</v>
      </c>
      <c r="C391" s="25" t="s">
        <v>418</v>
      </c>
      <c r="E391" s="25" t="s">
        <v>388</v>
      </c>
      <c r="F391" s="25" t="str">
        <f t="shared" si="8"/>
        <v>message.device.ipOffset</v>
      </c>
    </row>
    <row r="392" spans="1:6">
      <c r="A392" s="25" t="s">
        <v>632</v>
      </c>
      <c r="B392" s="25" t="s">
        <v>662</v>
      </c>
      <c r="C392" s="25" t="s">
        <v>418</v>
      </c>
      <c r="E392" s="25" t="s">
        <v>388</v>
      </c>
      <c r="F392" s="25" t="str">
        <f t="shared" si="8"/>
        <v>message.device.gpsLatitude</v>
      </c>
    </row>
    <row r="393" spans="1:6">
      <c r="A393" s="25" t="s">
        <v>632</v>
      </c>
      <c r="B393" s="25" t="s">
        <v>663</v>
      </c>
      <c r="C393" s="25" t="s">
        <v>387</v>
      </c>
      <c r="D393" s="32">
        <v>40</v>
      </c>
      <c r="E393" s="25" t="s">
        <v>388</v>
      </c>
      <c r="F393" s="25" t="str">
        <f t="shared" si="8"/>
        <v>message.device.browserOsVersion</v>
      </c>
    </row>
    <row r="394" spans="1:6">
      <c r="A394" s="25" t="s">
        <v>632</v>
      </c>
      <c r="B394" s="25" t="s">
        <v>664</v>
      </c>
      <c r="C394" s="25" t="s">
        <v>387</v>
      </c>
      <c r="D394" s="32">
        <v>40</v>
      </c>
      <c r="E394" s="25" t="s">
        <v>388</v>
      </c>
      <c r="F394" s="25" t="str">
        <f t="shared" si="8"/>
        <v>message.device.macAddress</v>
      </c>
    </row>
    <row r="395" spans="1:6">
      <c r="A395" s="25" t="s">
        <v>632</v>
      </c>
      <c r="B395" s="25" t="s">
        <v>533</v>
      </c>
      <c r="C395" s="25" t="s">
        <v>387</v>
      </c>
      <c r="D395" s="32">
        <v>3</v>
      </c>
      <c r="E395" s="25" t="s">
        <v>388</v>
      </c>
      <c r="F395" s="25" t="str">
        <f t="shared" si="8"/>
        <v>message.device.countryCode</v>
      </c>
    </row>
    <row r="396" spans="1:6">
      <c r="A396" s="25" t="s">
        <v>632</v>
      </c>
      <c r="B396" s="25" t="s">
        <v>665</v>
      </c>
      <c r="C396" s="25" t="s">
        <v>396</v>
      </c>
      <c r="E396" s="25" t="s">
        <v>388</v>
      </c>
      <c r="F396" s="25" t="str">
        <f t="shared" si="8"/>
        <v>message.device.dtTm</v>
      </c>
    </row>
    <row r="397" spans="1:6">
      <c r="A397" s="25" t="s">
        <v>632</v>
      </c>
      <c r="B397" s="25" t="s">
        <v>666</v>
      </c>
      <c r="C397" s="25" t="s">
        <v>424</v>
      </c>
      <c r="E397" s="25" t="s">
        <v>388</v>
      </c>
      <c r="F397" s="25" t="str">
        <f t="shared" si="8"/>
        <v>message.device.dataEnabledFlg</v>
      </c>
    </row>
    <row r="398" spans="1:6">
      <c r="A398" s="25" t="s">
        <v>632</v>
      </c>
      <c r="B398" s="25" t="s">
        <v>667</v>
      </c>
      <c r="C398" s="25" t="s">
        <v>424</v>
      </c>
      <c r="E398" s="25" t="s">
        <v>388</v>
      </c>
      <c r="F398" s="25" t="str">
        <f t="shared" si="8"/>
        <v>message.device.wifiEnabledFlg</v>
      </c>
    </row>
    <row r="399" spans="1:6">
      <c r="A399" s="25" t="s">
        <v>632</v>
      </c>
      <c r="B399" s="25" t="s">
        <v>668</v>
      </c>
      <c r="C399" s="25" t="s">
        <v>413</v>
      </c>
      <c r="E399" s="25" t="s">
        <v>388</v>
      </c>
      <c r="F399" s="25" t="str">
        <f t="shared" si="8"/>
        <v>message.device.screenHeight</v>
      </c>
    </row>
    <row r="400" spans="1:6">
      <c r="A400" s="25" t="s">
        <v>632</v>
      </c>
      <c r="B400" s="25" t="s">
        <v>669</v>
      </c>
      <c r="C400" s="25" t="s">
        <v>387</v>
      </c>
      <c r="D400" s="32">
        <v>40</v>
      </c>
      <c r="E400" s="25" t="s">
        <v>388</v>
      </c>
      <c r="F400" s="25" t="str">
        <f t="shared" si="8"/>
        <v>message.device.ipAddressV6</v>
      </c>
    </row>
    <row r="401" spans="1:6">
      <c r="A401" s="25" t="s">
        <v>632</v>
      </c>
      <c r="B401" s="25" t="s">
        <v>670</v>
      </c>
      <c r="C401" s="25" t="s">
        <v>424</v>
      </c>
      <c r="E401" s="25" t="s">
        <v>388</v>
      </c>
      <c r="F401" s="25" t="str">
        <f t="shared" si="8"/>
        <v>message.device.gpsEnabledFlg</v>
      </c>
    </row>
    <row r="402" spans="1:6">
      <c r="A402" s="25" t="s">
        <v>632</v>
      </c>
      <c r="B402" s="25" t="s">
        <v>671</v>
      </c>
      <c r="C402" s="25" t="s">
        <v>418</v>
      </c>
      <c r="E402" s="25" t="s">
        <v>388</v>
      </c>
      <c r="F402" s="25" t="str">
        <f t="shared" si="8"/>
        <v>message.device.ipLongitude</v>
      </c>
    </row>
    <row r="403" spans="1:6">
      <c r="A403" s="25" t="s">
        <v>632</v>
      </c>
      <c r="B403" s="25" t="s">
        <v>672</v>
      </c>
      <c r="C403" s="25" t="s">
        <v>424</v>
      </c>
      <c r="E403" s="25" t="s">
        <v>388</v>
      </c>
      <c r="F403" s="25" t="str">
        <f t="shared" si="8"/>
        <v>message.device.bluetoothEnabledFlg</v>
      </c>
    </row>
    <row r="404" spans="1:6">
      <c r="A404" s="25" t="s">
        <v>632</v>
      </c>
      <c r="B404" s="25" t="s">
        <v>673</v>
      </c>
      <c r="C404" s="25" t="s">
        <v>387</v>
      </c>
      <c r="D404" s="32">
        <v>40</v>
      </c>
      <c r="E404" s="25" t="s">
        <v>388</v>
      </c>
      <c r="F404" s="25" t="str">
        <f t="shared" si="8"/>
        <v>message.device.wifiNetworkName</v>
      </c>
    </row>
    <row r="405" spans="1:6">
      <c r="A405" s="25" t="s">
        <v>632</v>
      </c>
      <c r="B405" s="25" t="s">
        <v>674</v>
      </c>
      <c r="C405" s="25" t="s">
        <v>387</v>
      </c>
      <c r="D405" s="32">
        <v>40</v>
      </c>
      <c r="E405" s="25" t="s">
        <v>388</v>
      </c>
      <c r="F405" s="25" t="str">
        <f t="shared" si="8"/>
        <v>message.device.osVersion</v>
      </c>
    </row>
    <row r="406" spans="1:6">
      <c r="A406" s="25" t="s">
        <v>675</v>
      </c>
      <c r="B406" s="30" t="s">
        <v>647</v>
      </c>
      <c r="C406" s="31" t="s">
        <v>387</v>
      </c>
      <c r="D406" s="33">
        <v>100</v>
      </c>
      <c r="E406" s="30" t="s">
        <v>388</v>
      </c>
      <c r="F406" s="25" t="str">
        <f t="shared" ref="F406:F469" si="9">CONCATENATE("message.",A406,".",B406)</f>
        <v>message.digital.ipIsp</v>
      </c>
    </row>
    <row r="407" spans="1:6">
      <c r="A407" s="25" t="s">
        <v>675</v>
      </c>
      <c r="B407" s="30" t="s">
        <v>676</v>
      </c>
      <c r="C407" s="31" t="s">
        <v>387</v>
      </c>
      <c r="D407" s="33">
        <v>100</v>
      </c>
      <c r="E407" s="30" t="s">
        <v>388</v>
      </c>
      <c r="F407" s="25" t="str">
        <f t="shared" si="9"/>
        <v>message.digital.httpAcceptCharset</v>
      </c>
    </row>
    <row r="408" spans="1:6">
      <c r="A408" s="25" t="s">
        <v>675</v>
      </c>
      <c r="B408" s="30" t="s">
        <v>407</v>
      </c>
      <c r="C408" s="31" t="s">
        <v>387</v>
      </c>
      <c r="D408" s="33">
        <v>100</v>
      </c>
      <c r="E408" s="30" t="s">
        <v>388</v>
      </c>
      <c r="F408" s="25" t="str">
        <f t="shared" si="9"/>
        <v>message.digital.name</v>
      </c>
    </row>
    <row r="409" spans="1:6">
      <c r="A409" s="25" t="s">
        <v>675</v>
      </c>
      <c r="B409" s="30" t="s">
        <v>677</v>
      </c>
      <c r="C409" s="31" t="s">
        <v>396</v>
      </c>
      <c r="D409" s="33"/>
      <c r="E409" s="30" t="s">
        <v>388</v>
      </c>
      <c r="F409" s="25" t="str">
        <f t="shared" si="9"/>
        <v>message.digital.sessionEndDtTm</v>
      </c>
    </row>
    <row r="410" spans="1:6">
      <c r="A410" s="25" t="s">
        <v>675</v>
      </c>
      <c r="B410" s="25" t="s">
        <v>653</v>
      </c>
      <c r="C410" s="25" t="s">
        <v>387</v>
      </c>
      <c r="D410" s="32">
        <v>40</v>
      </c>
      <c r="E410" s="25" t="s">
        <v>388</v>
      </c>
      <c r="F410" s="25" t="str">
        <f t="shared" si="9"/>
        <v>message.digital.ipDistrict</v>
      </c>
    </row>
    <row r="411" spans="1:6">
      <c r="A411" s="25" t="s">
        <v>675</v>
      </c>
      <c r="B411" s="25" t="s">
        <v>652</v>
      </c>
      <c r="C411" s="25" t="s">
        <v>387</v>
      </c>
      <c r="D411" s="32">
        <v>3</v>
      </c>
      <c r="E411" s="25" t="s">
        <v>388</v>
      </c>
      <c r="F411" s="25" t="str">
        <f t="shared" si="9"/>
        <v>message.digital.ipCountryCode</v>
      </c>
    </row>
    <row r="412" spans="1:6">
      <c r="A412" s="25" t="s">
        <v>675</v>
      </c>
      <c r="B412" s="25" t="s">
        <v>678</v>
      </c>
      <c r="C412" s="25" t="s">
        <v>387</v>
      </c>
      <c r="D412" s="32">
        <v>1</v>
      </c>
      <c r="E412" s="25" t="s">
        <v>388</v>
      </c>
      <c r="F412" s="25" t="str">
        <f t="shared" si="9"/>
        <v>message.digital.httpUserAgent</v>
      </c>
    </row>
    <row r="413" spans="1:6">
      <c r="A413" s="25" t="s">
        <v>675</v>
      </c>
      <c r="B413" s="25" t="s">
        <v>410</v>
      </c>
      <c r="C413" s="25" t="s">
        <v>387</v>
      </c>
      <c r="D413" s="32">
        <v>3</v>
      </c>
      <c r="E413" s="25" t="s">
        <v>388</v>
      </c>
      <c r="F413" s="25" t="str">
        <f t="shared" si="9"/>
        <v>message.digital.type</v>
      </c>
    </row>
    <row r="414" spans="1:6">
      <c r="A414" s="25" t="s">
        <v>675</v>
      </c>
      <c r="B414" s="25" t="s">
        <v>661</v>
      </c>
      <c r="C414" s="25" t="s">
        <v>418</v>
      </c>
      <c r="E414" s="25" t="s">
        <v>388</v>
      </c>
      <c r="F414" s="25" t="str">
        <f t="shared" si="9"/>
        <v>message.digital.ipOffset</v>
      </c>
    </row>
    <row r="415" spans="1:6">
      <c r="A415" s="25" t="s">
        <v>675</v>
      </c>
      <c r="B415" s="25" t="s">
        <v>671</v>
      </c>
      <c r="C415" s="25" t="s">
        <v>418</v>
      </c>
      <c r="E415" s="25" t="s">
        <v>388</v>
      </c>
      <c r="F415" s="25" t="str">
        <f t="shared" si="9"/>
        <v>message.digital.ipLongitude</v>
      </c>
    </row>
    <row r="416" spans="1:6">
      <c r="A416" s="25" t="s">
        <v>675</v>
      </c>
      <c r="B416" s="25" t="s">
        <v>641</v>
      </c>
      <c r="C416" s="25" t="s">
        <v>387</v>
      </c>
      <c r="D416" s="32">
        <v>40</v>
      </c>
      <c r="E416" s="25" t="s">
        <v>388</v>
      </c>
      <c r="F416" s="25" t="str">
        <f t="shared" si="9"/>
        <v>message.digital.ipPostCode</v>
      </c>
    </row>
    <row r="417" spans="1:6">
      <c r="A417" s="25" t="s">
        <v>675</v>
      </c>
      <c r="B417" s="25" t="s">
        <v>644</v>
      </c>
      <c r="C417" s="25" t="s">
        <v>387</v>
      </c>
      <c r="D417" s="32">
        <v>100</v>
      </c>
      <c r="E417" s="25" t="s">
        <v>388</v>
      </c>
      <c r="F417" s="25" t="str">
        <f t="shared" si="9"/>
        <v>message.digital.ipCity</v>
      </c>
    </row>
    <row r="418" spans="1:6">
      <c r="A418" s="25" t="s">
        <v>675</v>
      </c>
      <c r="B418" s="25" t="s">
        <v>669</v>
      </c>
      <c r="C418" s="25" t="s">
        <v>387</v>
      </c>
      <c r="D418" s="32">
        <v>40</v>
      </c>
      <c r="E418" s="25" t="s">
        <v>388</v>
      </c>
      <c r="F418" s="25" t="str">
        <f t="shared" si="9"/>
        <v>message.digital.ipAddressV6</v>
      </c>
    </row>
    <row r="419" spans="1:6">
      <c r="A419" s="25" t="s">
        <v>675</v>
      </c>
      <c r="B419" s="25" t="s">
        <v>679</v>
      </c>
      <c r="C419" s="25" t="s">
        <v>387</v>
      </c>
      <c r="D419" s="32">
        <v>100</v>
      </c>
      <c r="E419" s="25" t="s">
        <v>388</v>
      </c>
      <c r="F419" s="25" t="str">
        <f t="shared" si="9"/>
        <v>message.digital.httpReferer</v>
      </c>
    </row>
    <row r="420" spans="1:6">
      <c r="A420" s="25" t="s">
        <v>675</v>
      </c>
      <c r="B420" s="25" t="s">
        <v>680</v>
      </c>
      <c r="C420" s="25" t="s">
        <v>387</v>
      </c>
      <c r="D420" s="32">
        <v>100</v>
      </c>
      <c r="E420" s="25" t="s">
        <v>388</v>
      </c>
      <c r="F420" s="25" t="str">
        <f t="shared" si="9"/>
        <v>message.digital.sessionIdentifier</v>
      </c>
    </row>
    <row r="421" spans="1:6">
      <c r="A421" s="25" t="s">
        <v>675</v>
      </c>
      <c r="B421" s="25" t="s">
        <v>557</v>
      </c>
      <c r="C421" s="25" t="s">
        <v>387</v>
      </c>
      <c r="D421" s="32">
        <v>40</v>
      </c>
      <c r="E421" s="25" t="s">
        <v>388</v>
      </c>
      <c r="F421" s="25" t="str">
        <f t="shared" si="9"/>
        <v>message.digital.desc</v>
      </c>
    </row>
    <row r="422" spans="1:6">
      <c r="A422" s="25" t="s">
        <v>675</v>
      </c>
      <c r="B422" s="25" t="s">
        <v>681</v>
      </c>
      <c r="C422" s="25" t="s">
        <v>396</v>
      </c>
      <c r="E422" s="25" t="s">
        <v>388</v>
      </c>
      <c r="F422" s="25" t="str">
        <f t="shared" si="9"/>
        <v>message.digital.serverDtTm</v>
      </c>
    </row>
    <row r="423" spans="1:6">
      <c r="A423" s="25" t="s">
        <v>675</v>
      </c>
      <c r="B423" s="25" t="s">
        <v>682</v>
      </c>
      <c r="C423" s="25" t="s">
        <v>387</v>
      </c>
      <c r="D423" s="32">
        <v>100</v>
      </c>
      <c r="E423" s="25" t="s">
        <v>388</v>
      </c>
      <c r="F423" s="25" t="str">
        <f t="shared" si="9"/>
        <v>message.digital.httpAccept</v>
      </c>
    </row>
    <row r="424" spans="1:6">
      <c r="A424" s="25" t="s">
        <v>675</v>
      </c>
      <c r="B424" s="25" t="s">
        <v>660</v>
      </c>
      <c r="C424" s="25" t="s">
        <v>387</v>
      </c>
      <c r="D424" s="32">
        <v>40</v>
      </c>
      <c r="E424" s="25" t="s">
        <v>388</v>
      </c>
      <c r="F424" s="25" t="str">
        <f t="shared" si="9"/>
        <v>message.digital.ipAddress</v>
      </c>
    </row>
    <row r="425" spans="1:6">
      <c r="A425" s="25" t="s">
        <v>675</v>
      </c>
      <c r="B425" s="25" t="s">
        <v>683</v>
      </c>
      <c r="C425" s="25" t="s">
        <v>396</v>
      </c>
      <c r="E425" s="25" t="s">
        <v>388</v>
      </c>
      <c r="F425" s="25" t="str">
        <f t="shared" si="9"/>
        <v>message.digital.sessionStartDtTm</v>
      </c>
    </row>
    <row r="426" spans="1:6">
      <c r="A426" s="25" t="s">
        <v>675</v>
      </c>
      <c r="B426" s="25" t="s">
        <v>645</v>
      </c>
      <c r="C426" s="25" t="s">
        <v>418</v>
      </c>
      <c r="E426" s="25" t="s">
        <v>388</v>
      </c>
      <c r="F426" s="25" t="str">
        <f t="shared" si="9"/>
        <v>message.digital.ipLatitude</v>
      </c>
    </row>
    <row r="427" spans="1:6">
      <c r="A427" s="25" t="s">
        <v>675</v>
      </c>
      <c r="B427" s="25" t="s">
        <v>656</v>
      </c>
      <c r="C427" s="25" t="s">
        <v>387</v>
      </c>
      <c r="D427" s="32">
        <v>40</v>
      </c>
      <c r="E427" s="25" t="s">
        <v>388</v>
      </c>
      <c r="F427" s="25" t="str">
        <f t="shared" si="9"/>
        <v>message.digital.ipDomain</v>
      </c>
    </row>
    <row r="428" spans="1:6">
      <c r="A428" s="25" t="s">
        <v>675</v>
      </c>
      <c r="B428" s="25" t="s">
        <v>684</v>
      </c>
      <c r="C428" s="25" t="s">
        <v>387</v>
      </c>
      <c r="D428" s="32">
        <v>100</v>
      </c>
      <c r="E428" s="25" t="s">
        <v>388</v>
      </c>
      <c r="F428" s="25" t="str">
        <f t="shared" si="9"/>
        <v>message.digital.httpHost</v>
      </c>
    </row>
    <row r="429" spans="1:6">
      <c r="A429" s="25" t="s">
        <v>675</v>
      </c>
      <c r="B429" s="25" t="s">
        <v>685</v>
      </c>
      <c r="C429" s="25" t="s">
        <v>387</v>
      </c>
      <c r="D429" s="32">
        <v>100</v>
      </c>
      <c r="E429" s="25" t="s">
        <v>388</v>
      </c>
      <c r="F429" s="25" t="str">
        <f t="shared" si="9"/>
        <v>message.digital.httpAcceptEncoding</v>
      </c>
    </row>
    <row r="430" spans="1:6">
      <c r="A430" s="25" t="s">
        <v>675</v>
      </c>
      <c r="B430" s="25" t="s">
        <v>633</v>
      </c>
      <c r="C430" s="25" t="s">
        <v>387</v>
      </c>
      <c r="D430" s="32">
        <v>40</v>
      </c>
      <c r="E430" s="25" t="s">
        <v>388</v>
      </c>
      <c r="F430" s="25" t="str">
        <f t="shared" si="9"/>
        <v>message.digital.ipRegion</v>
      </c>
    </row>
    <row r="431" spans="1:6">
      <c r="A431" s="25" t="s">
        <v>675</v>
      </c>
      <c r="B431" s="25" t="s">
        <v>686</v>
      </c>
      <c r="C431" s="25" t="s">
        <v>387</v>
      </c>
      <c r="D431" s="32">
        <v>100</v>
      </c>
      <c r="E431" s="25" t="s">
        <v>388</v>
      </c>
      <c r="F431" s="25" t="str">
        <f t="shared" si="9"/>
        <v>message.digital.httpAcceptLanguage</v>
      </c>
    </row>
    <row r="432" spans="1:6">
      <c r="A432" s="25" t="s">
        <v>675</v>
      </c>
      <c r="B432" s="25" t="s">
        <v>687</v>
      </c>
      <c r="C432" s="25" t="s">
        <v>387</v>
      </c>
      <c r="D432" s="32">
        <v>100</v>
      </c>
      <c r="E432" s="25" t="s">
        <v>388</v>
      </c>
      <c r="F432" s="25" t="str">
        <f t="shared" si="9"/>
        <v>message.digital.httpFrom</v>
      </c>
    </row>
    <row r="433" spans="1:6">
      <c r="A433" s="25" t="s">
        <v>688</v>
      </c>
      <c r="B433" s="25" t="s">
        <v>410</v>
      </c>
      <c r="C433" s="25" t="s">
        <v>387</v>
      </c>
      <c r="D433" s="32">
        <v>20</v>
      </c>
      <c r="E433" s="25" t="s">
        <v>388</v>
      </c>
      <c r="F433" s="25" t="str">
        <f t="shared" si="9"/>
        <v>message.emailaddress.type</v>
      </c>
    </row>
    <row r="434" spans="1:6">
      <c r="A434" s="25" t="s">
        <v>688</v>
      </c>
      <c r="B434" s="25" t="s">
        <v>689</v>
      </c>
      <c r="C434" s="25" t="s">
        <v>387</v>
      </c>
      <c r="D434" s="32">
        <v>200</v>
      </c>
      <c r="E434" s="25" t="s">
        <v>388</v>
      </c>
      <c r="F434" s="25" t="str">
        <f t="shared" si="9"/>
        <v>message.emailaddress.fullEmail</v>
      </c>
    </row>
    <row r="435" spans="1:6">
      <c r="A435" s="25" t="s">
        <v>688</v>
      </c>
      <c r="B435" s="25" t="s">
        <v>690</v>
      </c>
      <c r="C435" s="25" t="s">
        <v>691</v>
      </c>
      <c r="E435" s="25" t="s">
        <v>388</v>
      </c>
      <c r="F435" s="25" t="str">
        <f t="shared" si="9"/>
        <v>message.emailaddress.validTo</v>
      </c>
    </row>
    <row r="436" spans="1:6">
      <c r="A436" s="25" t="s">
        <v>688</v>
      </c>
      <c r="B436" s="25" t="s">
        <v>692</v>
      </c>
      <c r="C436" s="25" t="s">
        <v>691</v>
      </c>
      <c r="E436" s="25" t="s">
        <v>388</v>
      </c>
      <c r="F436" s="25" t="str">
        <f t="shared" si="9"/>
        <v>message.emailaddress.validFrom</v>
      </c>
    </row>
    <row r="437" spans="1:6">
      <c r="A437" s="25" t="s">
        <v>688</v>
      </c>
      <c r="B437" s="25" t="s">
        <v>693</v>
      </c>
      <c r="C437" s="25" t="s">
        <v>691</v>
      </c>
      <c r="E437" s="25" t="s">
        <v>388</v>
      </c>
      <c r="F437" s="25" t="str">
        <f t="shared" si="9"/>
        <v>message.emailaddress.lastChangeDt</v>
      </c>
    </row>
    <row r="438" spans="1:6">
      <c r="A438" s="25" t="s">
        <v>688</v>
      </c>
      <c r="B438" s="25" t="s">
        <v>694</v>
      </c>
      <c r="C438" s="25" t="s">
        <v>387</v>
      </c>
      <c r="D438" s="32">
        <v>200</v>
      </c>
      <c r="E438" s="25" t="s">
        <v>388</v>
      </c>
      <c r="F438" s="25" t="str">
        <f t="shared" si="9"/>
        <v>message.emailaddress.domain</v>
      </c>
    </row>
    <row r="439" spans="1:6">
      <c r="A439" s="25" t="s">
        <v>688</v>
      </c>
      <c r="B439" s="25" t="s">
        <v>695</v>
      </c>
      <c r="C439" s="25" t="s">
        <v>387</v>
      </c>
      <c r="D439" s="32">
        <v>200</v>
      </c>
      <c r="E439" s="25" t="s">
        <v>388</v>
      </c>
      <c r="F439" s="25" t="str">
        <f t="shared" si="9"/>
        <v>message.emailaddress.username</v>
      </c>
    </row>
    <row r="440" spans="1:6">
      <c r="A440" s="25" t="s">
        <v>696</v>
      </c>
      <c r="B440" s="25" t="s">
        <v>612</v>
      </c>
      <c r="C440" s="25" t="s">
        <v>396</v>
      </c>
      <c r="E440" s="25" t="s">
        <v>388</v>
      </c>
      <c r="F440" s="25" t="str">
        <f t="shared" si="9"/>
        <v>message.employment.employeeStartDt</v>
      </c>
    </row>
    <row r="441" spans="1:6">
      <c r="A441" s="25" t="s">
        <v>696</v>
      </c>
      <c r="B441" s="25" t="s">
        <v>697</v>
      </c>
      <c r="C441" s="25" t="s">
        <v>424</v>
      </c>
      <c r="E441" s="25" t="s">
        <v>388</v>
      </c>
      <c r="F441" s="25" t="str">
        <f t="shared" si="9"/>
        <v>message.employment.selfEmployedFlg</v>
      </c>
    </row>
    <row r="442" spans="1:6">
      <c r="A442" s="25" t="s">
        <v>696</v>
      </c>
      <c r="B442" s="25" t="s">
        <v>698</v>
      </c>
      <c r="C442" s="25" t="s">
        <v>396</v>
      </c>
      <c r="E442" s="25" t="s">
        <v>388</v>
      </c>
      <c r="F442" s="25" t="str">
        <f t="shared" si="9"/>
        <v>message.employment.employeeEndDt</v>
      </c>
    </row>
    <row r="443" spans="1:6">
      <c r="A443" s="25" t="s">
        <v>696</v>
      </c>
      <c r="B443" s="25" t="s">
        <v>608</v>
      </c>
      <c r="C443" s="25" t="s">
        <v>387</v>
      </c>
      <c r="D443" s="32">
        <v>50</v>
      </c>
      <c r="E443" s="25" t="s">
        <v>388</v>
      </c>
      <c r="F443" s="25" t="str">
        <f t="shared" si="9"/>
        <v>message.employment.employerName</v>
      </c>
    </row>
    <row r="444" spans="1:6">
      <c r="A444" s="25" t="s">
        <v>696</v>
      </c>
      <c r="B444" s="25" t="s">
        <v>464</v>
      </c>
      <c r="C444" s="25" t="s">
        <v>387</v>
      </c>
      <c r="D444" s="32">
        <v>36</v>
      </c>
      <c r="E444" s="25" t="s">
        <v>388</v>
      </c>
      <c r="F444" s="25" t="str">
        <f t="shared" si="9"/>
        <v>message.employment.status</v>
      </c>
    </row>
    <row r="445" spans="1:6">
      <c r="A445" s="25" t="s">
        <v>696</v>
      </c>
      <c r="B445" s="25" t="s">
        <v>699</v>
      </c>
      <c r="C445" s="25" t="s">
        <v>424</v>
      </c>
      <c r="E445" s="25" t="s">
        <v>388</v>
      </c>
      <c r="F445" s="25" t="str">
        <f t="shared" si="9"/>
        <v>message.employment.employerCurrentFlg</v>
      </c>
    </row>
    <row r="446" spans="1:6">
      <c r="A446" s="25" t="s">
        <v>696</v>
      </c>
      <c r="B446" s="25" t="s">
        <v>610</v>
      </c>
      <c r="C446" s="25" t="s">
        <v>424</v>
      </c>
      <c r="E446" s="25" t="s">
        <v>388</v>
      </c>
      <c r="F446" s="25" t="str">
        <f t="shared" si="9"/>
        <v>message.employment.employeeFlg</v>
      </c>
    </row>
    <row r="447" spans="1:6">
      <c r="A447" s="25" t="s">
        <v>696</v>
      </c>
      <c r="B447" s="25" t="s">
        <v>408</v>
      </c>
      <c r="C447" s="25" t="s">
        <v>387</v>
      </c>
      <c r="D447" s="32">
        <v>10</v>
      </c>
      <c r="E447" s="25" t="s">
        <v>388</v>
      </c>
      <c r="F447" s="25" t="str">
        <f t="shared" si="9"/>
        <v>message.employment.salaryFrequency</v>
      </c>
    </row>
    <row r="448" spans="1:6">
      <c r="A448" s="25" t="s">
        <v>696</v>
      </c>
      <c r="B448" s="25" t="s">
        <v>700</v>
      </c>
      <c r="C448" s="25" t="s">
        <v>387</v>
      </c>
      <c r="D448" s="32">
        <v>100</v>
      </c>
      <c r="E448" s="25" t="s">
        <v>388</v>
      </c>
      <c r="F448" s="25" t="str">
        <f t="shared" si="9"/>
        <v>message.employment.employerFullAddress</v>
      </c>
    </row>
    <row r="449" spans="1:6">
      <c r="A449" s="25" t="s">
        <v>696</v>
      </c>
      <c r="B449" s="25" t="s">
        <v>701</v>
      </c>
      <c r="C449" s="25" t="s">
        <v>413</v>
      </c>
      <c r="E449" s="25" t="s">
        <v>388</v>
      </c>
      <c r="F449" s="25" t="str">
        <f t="shared" si="9"/>
        <v>message.employment.annualSalary</v>
      </c>
    </row>
    <row r="450" spans="1:6">
      <c r="A450" s="25" t="s">
        <v>696</v>
      </c>
      <c r="B450" s="25" t="s">
        <v>702</v>
      </c>
      <c r="C450" s="25" t="s">
        <v>387</v>
      </c>
      <c r="D450" s="32">
        <v>50</v>
      </c>
      <c r="E450" s="25" t="s">
        <v>388</v>
      </c>
      <c r="F450" s="25" t="str">
        <f t="shared" si="9"/>
        <v>message.employment.employeeIdentifier</v>
      </c>
    </row>
    <row r="451" spans="1:6">
      <c r="A451" s="25" t="s">
        <v>696</v>
      </c>
      <c r="B451" s="25" t="s">
        <v>703</v>
      </c>
      <c r="C451" s="25" t="s">
        <v>387</v>
      </c>
      <c r="D451" s="32">
        <v>50</v>
      </c>
      <c r="E451" s="25" t="s">
        <v>388</v>
      </c>
      <c r="F451" s="25" t="str">
        <f t="shared" si="9"/>
        <v>message.employment.employerIndustryType</v>
      </c>
    </row>
    <row r="452" spans="1:6">
      <c r="A452" s="25" t="s">
        <v>696</v>
      </c>
      <c r="B452" s="25" t="s">
        <v>607</v>
      </c>
      <c r="C452" s="25" t="s">
        <v>387</v>
      </c>
      <c r="D452" s="32">
        <v>20</v>
      </c>
      <c r="E452" s="25" t="s">
        <v>388</v>
      </c>
      <c r="F452" s="25" t="str">
        <f t="shared" si="9"/>
        <v>message.employment.employeeJobTitle</v>
      </c>
    </row>
    <row r="453" spans="1:6">
      <c r="A453" s="25" t="s">
        <v>704</v>
      </c>
      <c r="B453" s="25" t="s">
        <v>705</v>
      </c>
      <c r="C453" s="25" t="s">
        <v>387</v>
      </c>
      <c r="D453" s="32">
        <v>3</v>
      </c>
      <c r="E453" s="25" t="s">
        <v>388</v>
      </c>
      <c r="F453" s="25" t="str">
        <f t="shared" si="9"/>
        <v>message.identification.countryOfIssueCode</v>
      </c>
    </row>
    <row r="454" spans="1:6">
      <c r="A454" s="25" t="s">
        <v>704</v>
      </c>
      <c r="B454" s="25" t="s">
        <v>706</v>
      </c>
      <c r="C454" s="25" t="s">
        <v>396</v>
      </c>
      <c r="E454" s="25" t="s">
        <v>388</v>
      </c>
      <c r="F454" s="25" t="str">
        <f t="shared" si="9"/>
        <v>message.identification.dateOfIssue</v>
      </c>
    </row>
    <row r="455" spans="1:6">
      <c r="A455" s="25" t="s">
        <v>704</v>
      </c>
      <c r="B455" s="25" t="s">
        <v>410</v>
      </c>
      <c r="C455" s="25" t="s">
        <v>387</v>
      </c>
      <c r="D455" s="32">
        <v>36</v>
      </c>
      <c r="E455" s="25" t="s">
        <v>388</v>
      </c>
      <c r="F455" s="25" t="str">
        <f t="shared" si="9"/>
        <v>message.identification.type</v>
      </c>
    </row>
    <row r="456" spans="1:6">
      <c r="A456" s="25" t="s">
        <v>704</v>
      </c>
      <c r="B456" s="25" t="s">
        <v>707</v>
      </c>
      <c r="C456" s="25" t="s">
        <v>387</v>
      </c>
      <c r="D456" s="32">
        <v>3</v>
      </c>
      <c r="E456" s="25" t="s">
        <v>388</v>
      </c>
      <c r="F456" s="25" t="str">
        <f t="shared" si="9"/>
        <v>message.identification.countryOfIssue</v>
      </c>
    </row>
    <row r="457" spans="1:6">
      <c r="A457" s="25" t="s">
        <v>704</v>
      </c>
      <c r="B457" s="25" t="s">
        <v>708</v>
      </c>
      <c r="C457" s="25" t="s">
        <v>396</v>
      </c>
      <c r="E457" s="25" t="s">
        <v>388</v>
      </c>
      <c r="F457" s="25" t="str">
        <f t="shared" si="9"/>
        <v>message.identification.dateOfExpiry</v>
      </c>
    </row>
    <row r="458" spans="1:6">
      <c r="A458" s="25" t="s">
        <v>704</v>
      </c>
      <c r="B458" s="25" t="s">
        <v>709</v>
      </c>
      <c r="C458" s="25" t="s">
        <v>387</v>
      </c>
      <c r="D458" s="32">
        <v>36</v>
      </c>
      <c r="E458" s="25" t="s">
        <v>388</v>
      </c>
      <c r="F458" s="25" t="str">
        <f t="shared" si="9"/>
        <v>message.identification.issuedBy</v>
      </c>
    </row>
    <row r="459" spans="1:6">
      <c r="A459" s="25" t="s">
        <v>704</v>
      </c>
      <c r="B459" s="25" t="s">
        <v>544</v>
      </c>
      <c r="C459" s="25" t="s">
        <v>387</v>
      </c>
      <c r="D459" s="32">
        <v>100</v>
      </c>
      <c r="E459" s="25" t="s">
        <v>388</v>
      </c>
      <c r="F459" s="25" t="str">
        <f t="shared" si="9"/>
        <v>message.identification.number</v>
      </c>
    </row>
    <row r="460" spans="1:6">
      <c r="A460" s="25" t="s">
        <v>704</v>
      </c>
      <c r="B460" s="25" t="s">
        <v>710</v>
      </c>
      <c r="C460" s="25" t="s">
        <v>387</v>
      </c>
      <c r="D460" s="32">
        <v>100</v>
      </c>
      <c r="E460" s="25" t="s">
        <v>388</v>
      </c>
      <c r="F460" s="25" t="str">
        <f t="shared" si="9"/>
        <v>message.identification.details</v>
      </c>
    </row>
    <row r="461" spans="1:6">
      <c r="A461" s="25" t="s">
        <v>704</v>
      </c>
      <c r="B461" s="25" t="s">
        <v>692</v>
      </c>
      <c r="C461" s="25" t="s">
        <v>396</v>
      </c>
      <c r="E461" s="25" t="s">
        <v>388</v>
      </c>
      <c r="F461" s="25" t="str">
        <f t="shared" si="9"/>
        <v>message.identification.validFrom</v>
      </c>
    </row>
    <row r="462" spans="1:6">
      <c r="A462" s="25" t="s">
        <v>704</v>
      </c>
      <c r="B462" s="25" t="s">
        <v>690</v>
      </c>
      <c r="C462" s="25" t="s">
        <v>396</v>
      </c>
      <c r="E462" s="25" t="s">
        <v>388</v>
      </c>
      <c r="F462" s="25" t="str">
        <f t="shared" si="9"/>
        <v>message.identification.validTo</v>
      </c>
    </row>
    <row r="463" spans="1:6">
      <c r="A463" s="25" t="s">
        <v>711</v>
      </c>
      <c r="B463" s="25" t="s">
        <v>712</v>
      </c>
      <c r="C463" s="25" t="s">
        <v>387</v>
      </c>
      <c r="D463" s="32">
        <v>36</v>
      </c>
      <c r="E463" s="25" t="s">
        <v>388</v>
      </c>
      <c r="F463" s="25" t="str">
        <f t="shared" si="9"/>
        <v>message.location.buildingNumber</v>
      </c>
    </row>
    <row r="464" spans="1:6">
      <c r="A464" s="25" t="s">
        <v>711</v>
      </c>
      <c r="B464" s="25" t="s">
        <v>713</v>
      </c>
      <c r="C464" s="25" t="s">
        <v>387</v>
      </c>
      <c r="D464" s="32">
        <v>100</v>
      </c>
      <c r="E464" s="25" t="s">
        <v>388</v>
      </c>
      <c r="F464" s="25" t="str">
        <f t="shared" si="9"/>
        <v>message.location.town</v>
      </c>
    </row>
    <row r="465" spans="1:6">
      <c r="A465" s="25" t="s">
        <v>711</v>
      </c>
      <c r="B465" s="25" t="s">
        <v>535</v>
      </c>
      <c r="C465" s="25" t="s">
        <v>387</v>
      </c>
      <c r="D465" s="32">
        <v>36</v>
      </c>
      <c r="E465" s="25" t="s">
        <v>388</v>
      </c>
      <c r="F465" s="25" t="str">
        <f t="shared" si="9"/>
        <v>message.location.postcode</v>
      </c>
    </row>
    <row r="466" spans="1:6">
      <c r="A466" s="25" t="s">
        <v>711</v>
      </c>
      <c r="B466" s="25" t="s">
        <v>714</v>
      </c>
      <c r="C466" s="25" t="s">
        <v>387</v>
      </c>
      <c r="D466" s="32">
        <v>100</v>
      </c>
      <c r="E466" s="25" t="s">
        <v>388</v>
      </c>
      <c r="F466" s="25" t="str">
        <f t="shared" si="9"/>
        <v>message.location.county</v>
      </c>
    </row>
    <row r="467" spans="1:6">
      <c r="A467" s="25" t="s">
        <v>711</v>
      </c>
      <c r="B467" s="25" t="s">
        <v>410</v>
      </c>
      <c r="C467" s="25" t="s">
        <v>387</v>
      </c>
      <c r="D467" s="32">
        <v>36</v>
      </c>
      <c r="E467" s="25" t="s">
        <v>388</v>
      </c>
      <c r="F467" s="25" t="str">
        <f t="shared" si="9"/>
        <v>message.location.type</v>
      </c>
    </row>
    <row r="468" spans="1:6">
      <c r="A468" s="25" t="s">
        <v>711</v>
      </c>
      <c r="B468" s="25" t="s">
        <v>715</v>
      </c>
      <c r="C468" s="25" t="s">
        <v>387</v>
      </c>
      <c r="D468" s="32">
        <v>36</v>
      </c>
      <c r="E468" s="25" t="s">
        <v>388</v>
      </c>
      <c r="F468" s="25" t="str">
        <f t="shared" si="9"/>
        <v>message.location.postBox</v>
      </c>
    </row>
    <row r="469" spans="1:6">
      <c r="A469" s="25" t="s">
        <v>711</v>
      </c>
      <c r="B469" s="25" t="s">
        <v>693</v>
      </c>
      <c r="C469" s="25" t="s">
        <v>691</v>
      </c>
      <c r="E469" s="25" t="s">
        <v>388</v>
      </c>
      <c r="F469" s="25" t="str">
        <f t="shared" si="9"/>
        <v>message.location.lastChangeDt</v>
      </c>
    </row>
    <row r="470" spans="1:6">
      <c r="A470" s="25" t="s">
        <v>711</v>
      </c>
      <c r="B470" s="25" t="s">
        <v>421</v>
      </c>
      <c r="C470" s="25" t="s">
        <v>387</v>
      </c>
      <c r="D470" s="32">
        <v>36</v>
      </c>
      <c r="E470" s="25" t="s">
        <v>388</v>
      </c>
      <c r="F470" s="25" t="str">
        <f t="shared" ref="F470:F533" si="10">CONCATENATE("message.",A470,".",B470)</f>
        <v>message.location.category</v>
      </c>
    </row>
    <row r="471" spans="1:6">
      <c r="A471" s="25" t="s">
        <v>711</v>
      </c>
      <c r="B471" s="25" t="s">
        <v>537</v>
      </c>
      <c r="C471" s="25" t="s">
        <v>387</v>
      </c>
      <c r="D471" s="32">
        <v>100</v>
      </c>
      <c r="E471" s="25" t="s">
        <v>388</v>
      </c>
      <c r="F471" s="25" t="str">
        <f t="shared" si="10"/>
        <v>message.location.city</v>
      </c>
    </row>
    <row r="472" spans="1:6">
      <c r="A472" s="25" t="s">
        <v>711</v>
      </c>
      <c r="B472" s="25" t="s">
        <v>539</v>
      </c>
      <c r="C472" s="25" t="s">
        <v>387</v>
      </c>
      <c r="D472" s="32">
        <v>100</v>
      </c>
      <c r="E472" s="25" t="s">
        <v>388</v>
      </c>
      <c r="F472" s="25" t="str">
        <f t="shared" si="10"/>
        <v>message.location.state</v>
      </c>
    </row>
    <row r="473" spans="1:6">
      <c r="A473" s="25" t="s">
        <v>711</v>
      </c>
      <c r="B473" s="25" t="s">
        <v>407</v>
      </c>
      <c r="C473" s="25" t="s">
        <v>387</v>
      </c>
      <c r="D473" s="32">
        <v>36</v>
      </c>
      <c r="E473" s="25" t="s">
        <v>388</v>
      </c>
      <c r="F473" s="25" t="str">
        <f t="shared" si="10"/>
        <v>message.location.name</v>
      </c>
    </row>
    <row r="474" spans="1:6">
      <c r="A474" s="25" t="s">
        <v>711</v>
      </c>
      <c r="B474" s="25" t="s">
        <v>531</v>
      </c>
      <c r="C474" s="25" t="s">
        <v>387</v>
      </c>
      <c r="D474" s="32">
        <v>3</v>
      </c>
      <c r="E474" s="25" t="s">
        <v>388</v>
      </c>
      <c r="F474" s="25" t="str">
        <f t="shared" si="10"/>
        <v>message.location.country</v>
      </c>
    </row>
    <row r="475" spans="1:6">
      <c r="A475" s="25" t="s">
        <v>711</v>
      </c>
      <c r="B475" s="25" t="s">
        <v>716</v>
      </c>
      <c r="C475" s="25" t="s">
        <v>691</v>
      </c>
      <c r="E475" s="25" t="s">
        <v>388</v>
      </c>
      <c r="F475" s="25" t="str">
        <f t="shared" si="10"/>
        <v>message.location.toDate</v>
      </c>
    </row>
    <row r="476" spans="1:6">
      <c r="A476" s="25" t="s">
        <v>711</v>
      </c>
      <c r="B476" s="25" t="s">
        <v>717</v>
      </c>
      <c r="C476" s="25" t="s">
        <v>387</v>
      </c>
      <c r="D476" s="32">
        <v>36</v>
      </c>
      <c r="E476" s="25" t="s">
        <v>388</v>
      </c>
      <c r="F476" s="25" t="str">
        <f t="shared" si="10"/>
        <v>message.location.floor</v>
      </c>
    </row>
    <row r="477" spans="1:6">
      <c r="A477" s="25" t="s">
        <v>711</v>
      </c>
      <c r="B477" s="25" t="s">
        <v>718</v>
      </c>
      <c r="C477" s="25" t="s">
        <v>691</v>
      </c>
      <c r="E477" s="25" t="s">
        <v>388</v>
      </c>
      <c r="F477" s="25" t="str">
        <f t="shared" si="10"/>
        <v>message.location.fromDate</v>
      </c>
    </row>
    <row r="478" spans="1:6">
      <c r="A478" s="25" t="s">
        <v>711</v>
      </c>
      <c r="B478" s="25" t="s">
        <v>719</v>
      </c>
      <c r="C478" s="25" t="s">
        <v>387</v>
      </c>
      <c r="D478" s="32">
        <v>100</v>
      </c>
      <c r="E478" s="25" t="s">
        <v>388</v>
      </c>
      <c r="F478" s="25" t="str">
        <f t="shared" si="10"/>
        <v>message.location.region</v>
      </c>
    </row>
    <row r="479" spans="1:6">
      <c r="A479" s="25" t="s">
        <v>711</v>
      </c>
      <c r="B479" s="25" t="s">
        <v>720</v>
      </c>
      <c r="C479" s="25" t="s">
        <v>387</v>
      </c>
      <c r="D479" s="32">
        <v>250</v>
      </c>
      <c r="E479" s="25" t="s">
        <v>388</v>
      </c>
      <c r="F479" s="25" t="str">
        <f t="shared" si="10"/>
        <v>message.location.full</v>
      </c>
    </row>
    <row r="480" spans="1:6">
      <c r="A480" s="25" t="s">
        <v>711</v>
      </c>
      <c r="B480" s="25" t="s">
        <v>721</v>
      </c>
      <c r="C480" s="25" t="s">
        <v>387</v>
      </c>
      <c r="D480" s="32">
        <v>100</v>
      </c>
      <c r="E480" s="25" t="s">
        <v>388</v>
      </c>
      <c r="F480" s="25" t="str">
        <f t="shared" si="10"/>
        <v>message.location.street</v>
      </c>
    </row>
    <row r="481" spans="1:6">
      <c r="A481" s="25" t="s">
        <v>711</v>
      </c>
      <c r="B481" s="25" t="s">
        <v>722</v>
      </c>
      <c r="C481" s="25" t="s">
        <v>387</v>
      </c>
      <c r="D481" s="32">
        <v>50</v>
      </c>
      <c r="E481" s="25" t="s">
        <v>388</v>
      </c>
      <c r="F481" s="25" t="str">
        <f t="shared" si="10"/>
        <v>message.location.buildingName</v>
      </c>
    </row>
    <row r="482" spans="1:6">
      <c r="A482" s="25" t="s">
        <v>711</v>
      </c>
      <c r="B482" s="25" t="s">
        <v>544</v>
      </c>
      <c r="C482" s="25" t="s">
        <v>387</v>
      </c>
      <c r="D482" s="32">
        <v>36</v>
      </c>
      <c r="E482" s="25" t="s">
        <v>388</v>
      </c>
      <c r="F482" s="25" t="str">
        <f t="shared" si="10"/>
        <v>message.location.number</v>
      </c>
    </row>
    <row r="483" spans="1:6">
      <c r="A483" s="25" t="s">
        <v>711</v>
      </c>
      <c r="B483" s="25" t="s">
        <v>533</v>
      </c>
      <c r="C483" s="25" t="s">
        <v>387</v>
      </c>
      <c r="D483" s="32">
        <v>3</v>
      </c>
      <c r="E483" s="25" t="s">
        <v>388</v>
      </c>
      <c r="F483" s="25" t="str">
        <f t="shared" si="10"/>
        <v>message.location.countryCode</v>
      </c>
    </row>
    <row r="484" spans="1:6">
      <c r="A484" s="25" t="s">
        <v>711</v>
      </c>
      <c r="B484" s="25" t="s">
        <v>723</v>
      </c>
      <c r="C484" s="25" t="s">
        <v>413</v>
      </c>
      <c r="E484" s="25" t="s">
        <v>388</v>
      </c>
      <c r="F484" s="25" t="str">
        <f t="shared" si="10"/>
        <v>message.location.monthsAtLocation</v>
      </c>
    </row>
    <row r="485" spans="1:6">
      <c r="A485" s="25" t="s">
        <v>724</v>
      </c>
      <c r="B485" s="25" t="s">
        <v>533</v>
      </c>
      <c r="C485" s="25" t="s">
        <v>387</v>
      </c>
      <c r="D485" s="32">
        <v>3</v>
      </c>
      <c r="E485" s="25" t="s">
        <v>388</v>
      </c>
      <c r="F485" s="25" t="str">
        <f t="shared" si="10"/>
        <v>message.merchant.countryCode</v>
      </c>
    </row>
    <row r="486" spans="1:6">
      <c r="A486" s="25" t="s">
        <v>724</v>
      </c>
      <c r="B486" s="25" t="s">
        <v>725</v>
      </c>
      <c r="C486" s="25" t="s">
        <v>387</v>
      </c>
      <c r="D486" s="32">
        <v>15</v>
      </c>
      <c r="E486" s="25" t="s">
        <v>388</v>
      </c>
      <c r="F486" s="25" t="str">
        <f t="shared" si="10"/>
        <v>message.merchant.terminalPostcode</v>
      </c>
    </row>
    <row r="487" spans="1:6">
      <c r="A487" s="25" t="s">
        <v>724</v>
      </c>
      <c r="B487" s="25" t="s">
        <v>726</v>
      </c>
      <c r="C487" s="25" t="s">
        <v>387</v>
      </c>
      <c r="D487" s="32">
        <v>15</v>
      </c>
      <c r="E487" s="25" t="s">
        <v>388</v>
      </c>
      <c r="F487" s="25" t="str">
        <f t="shared" si="10"/>
        <v>message.merchant.terminalIdentifier</v>
      </c>
    </row>
    <row r="488" spans="1:6">
      <c r="A488" s="25" t="s">
        <v>724</v>
      </c>
      <c r="B488" s="25" t="s">
        <v>537</v>
      </c>
      <c r="C488" s="25" t="s">
        <v>387</v>
      </c>
      <c r="D488" s="32">
        <v>80</v>
      </c>
      <c r="E488" s="25" t="s">
        <v>388</v>
      </c>
      <c r="F488" s="25" t="str">
        <f t="shared" si="10"/>
        <v>message.merchant.city</v>
      </c>
    </row>
    <row r="489" spans="1:6">
      <c r="A489" s="25" t="s">
        <v>724</v>
      </c>
      <c r="B489" s="25" t="s">
        <v>727</v>
      </c>
      <c r="C489" s="25" t="s">
        <v>387</v>
      </c>
      <c r="D489" s="32">
        <v>4</v>
      </c>
      <c r="E489" s="25" t="s">
        <v>388</v>
      </c>
      <c r="F489" s="25" t="str">
        <f t="shared" si="10"/>
        <v>message.merchant.alternateCategoryCode</v>
      </c>
    </row>
    <row r="490" spans="1:6">
      <c r="A490" s="25" t="s">
        <v>724</v>
      </c>
      <c r="B490" s="25" t="s">
        <v>728</v>
      </c>
      <c r="C490" s="25" t="s">
        <v>387</v>
      </c>
      <c r="D490" s="32">
        <v>3</v>
      </c>
      <c r="E490" s="25" t="s">
        <v>388</v>
      </c>
      <c r="F490" s="25" t="str">
        <f t="shared" si="10"/>
        <v>message.merchant.terminalCountry</v>
      </c>
    </row>
    <row r="491" spans="1:6">
      <c r="A491" s="25" t="s">
        <v>724</v>
      </c>
      <c r="B491" s="25" t="s">
        <v>729</v>
      </c>
      <c r="C491" s="25" t="s">
        <v>387</v>
      </c>
      <c r="D491" s="32">
        <v>100</v>
      </c>
      <c r="E491" s="25" t="s">
        <v>388</v>
      </c>
      <c r="F491" s="25" t="str">
        <f t="shared" si="10"/>
        <v>message.merchant.terminalCity</v>
      </c>
    </row>
    <row r="492" spans="1:6">
      <c r="A492" s="25" t="s">
        <v>724</v>
      </c>
      <c r="B492" s="25" t="s">
        <v>422</v>
      </c>
      <c r="C492" s="25" t="s">
        <v>387</v>
      </c>
      <c r="D492" s="32">
        <v>15</v>
      </c>
      <c r="E492" s="25" t="s">
        <v>388</v>
      </c>
      <c r="F492" s="25" t="str">
        <f t="shared" si="10"/>
        <v>message.merchant.identifier</v>
      </c>
    </row>
    <row r="493" spans="1:6">
      <c r="A493" s="25" t="s">
        <v>724</v>
      </c>
      <c r="B493" s="25" t="s">
        <v>459</v>
      </c>
      <c r="C493" s="25" t="s">
        <v>387</v>
      </c>
      <c r="D493" s="32">
        <v>3</v>
      </c>
      <c r="E493" s="25" t="s">
        <v>390</v>
      </c>
      <c r="F493" s="25" t="str">
        <f t="shared" si="10"/>
        <v>message.merchant.currency</v>
      </c>
    </row>
    <row r="494" spans="1:6">
      <c r="A494" s="25" t="s">
        <v>724</v>
      </c>
      <c r="B494" s="25" t="s">
        <v>451</v>
      </c>
      <c r="C494" s="25" t="s">
        <v>418</v>
      </c>
      <c r="E494" s="25" t="s">
        <v>390</v>
      </c>
      <c r="F494" s="25" t="str">
        <f t="shared" si="10"/>
        <v>message.merchant.amount</v>
      </c>
    </row>
    <row r="495" spans="1:6">
      <c r="A495" s="25" t="s">
        <v>724</v>
      </c>
      <c r="B495" s="25" t="s">
        <v>730</v>
      </c>
      <c r="C495" s="25" t="s">
        <v>387</v>
      </c>
      <c r="D495" s="32">
        <v>3</v>
      </c>
      <c r="E495" s="25" t="s">
        <v>388</v>
      </c>
      <c r="F495" s="25" t="str">
        <f t="shared" si="10"/>
        <v>message.merchant.acquirerCountryCode</v>
      </c>
    </row>
    <row r="496" spans="1:6">
      <c r="A496" s="25" t="s">
        <v>724</v>
      </c>
      <c r="B496" s="25" t="s">
        <v>731</v>
      </c>
      <c r="C496" s="25" t="s">
        <v>387</v>
      </c>
      <c r="D496" s="32">
        <v>100</v>
      </c>
      <c r="E496" s="25" t="s">
        <v>388</v>
      </c>
      <c r="F496" s="25" t="str">
        <f t="shared" si="10"/>
        <v>message.merchant.terminalState</v>
      </c>
    </row>
    <row r="497" spans="1:6">
      <c r="A497" s="25" t="s">
        <v>724</v>
      </c>
      <c r="B497" s="25" t="s">
        <v>732</v>
      </c>
      <c r="C497" s="25" t="s">
        <v>387</v>
      </c>
      <c r="D497" s="32">
        <v>80</v>
      </c>
      <c r="E497" s="25" t="s">
        <v>388</v>
      </c>
      <c r="F497" s="25" t="str">
        <f t="shared" si="10"/>
        <v>message.merchant.acquiringBankName</v>
      </c>
    </row>
    <row r="498" spans="1:6">
      <c r="A498" s="25" t="s">
        <v>724</v>
      </c>
      <c r="B498" s="25" t="s">
        <v>448</v>
      </c>
      <c r="C498" s="25" t="s">
        <v>387</v>
      </c>
      <c r="D498" s="32">
        <v>3</v>
      </c>
      <c r="E498" s="25" t="s">
        <v>390</v>
      </c>
      <c r="F498" s="25" t="str">
        <f t="shared" si="10"/>
        <v>message.merchant.currencyCode</v>
      </c>
    </row>
    <row r="499" spans="1:6">
      <c r="A499" s="25" t="s">
        <v>724</v>
      </c>
      <c r="B499" s="25" t="s">
        <v>407</v>
      </c>
      <c r="C499" s="25" t="s">
        <v>387</v>
      </c>
      <c r="D499" s="32">
        <v>80</v>
      </c>
      <c r="E499" s="25" t="s">
        <v>388</v>
      </c>
      <c r="F499" s="25" t="str">
        <f t="shared" si="10"/>
        <v>message.merchant.name</v>
      </c>
    </row>
    <row r="500" spans="1:6">
      <c r="A500" s="25" t="s">
        <v>724</v>
      </c>
      <c r="B500" s="25" t="s">
        <v>733</v>
      </c>
      <c r="C500" s="25" t="s">
        <v>387</v>
      </c>
      <c r="D500" s="32">
        <v>15</v>
      </c>
      <c r="E500" s="25" t="s">
        <v>388</v>
      </c>
      <c r="F500" s="25" t="str">
        <f t="shared" si="10"/>
        <v>message.merchant.terminalCategory</v>
      </c>
    </row>
    <row r="501" spans="1:6">
      <c r="A501" s="25" t="s">
        <v>724</v>
      </c>
      <c r="B501" s="25" t="s">
        <v>734</v>
      </c>
      <c r="C501" s="25" t="s">
        <v>387</v>
      </c>
      <c r="D501" s="32">
        <v>11</v>
      </c>
      <c r="E501" s="25" t="s">
        <v>388</v>
      </c>
      <c r="F501" s="25" t="str">
        <f t="shared" si="10"/>
        <v>message.merchant.acquiringBankIdentifier</v>
      </c>
    </row>
    <row r="502" spans="1:6">
      <c r="A502" s="25" t="s">
        <v>724</v>
      </c>
      <c r="B502" s="25" t="s">
        <v>735</v>
      </c>
      <c r="C502" s="25" t="s">
        <v>387</v>
      </c>
      <c r="D502" s="32">
        <v>15</v>
      </c>
      <c r="E502" s="25" t="s">
        <v>388</v>
      </c>
      <c r="F502" s="25" t="str">
        <f t="shared" si="10"/>
        <v>message.merchant.terminalClientCategory</v>
      </c>
    </row>
    <row r="503" spans="1:6">
      <c r="A503" s="25" t="s">
        <v>724</v>
      </c>
      <c r="B503" s="25" t="s">
        <v>736</v>
      </c>
      <c r="C503" s="25" t="s">
        <v>387</v>
      </c>
      <c r="D503" s="32">
        <v>3</v>
      </c>
      <c r="E503" s="25" t="s">
        <v>388</v>
      </c>
      <c r="F503" s="25" t="str">
        <f t="shared" si="10"/>
        <v>message.merchant.acquirerCountry</v>
      </c>
    </row>
    <row r="504" spans="1:6">
      <c r="A504" s="25" t="s">
        <v>724</v>
      </c>
      <c r="B504" s="25" t="s">
        <v>737</v>
      </c>
      <c r="C504" s="25" t="s">
        <v>387</v>
      </c>
      <c r="D504" s="32">
        <v>15</v>
      </c>
      <c r="E504" s="25" t="s">
        <v>388</v>
      </c>
      <c r="F504" s="25" t="str">
        <f t="shared" si="10"/>
        <v>message.merchant.acquirerIdentifier</v>
      </c>
    </row>
    <row r="505" spans="1:6">
      <c r="A505" s="25" t="s">
        <v>724</v>
      </c>
      <c r="B505" s="25" t="s">
        <v>531</v>
      </c>
      <c r="C505" s="25" t="s">
        <v>387</v>
      </c>
      <c r="D505" s="32">
        <v>3</v>
      </c>
      <c r="E505" s="25" t="s">
        <v>388</v>
      </c>
      <c r="F505" s="25" t="str">
        <f t="shared" si="10"/>
        <v>message.merchant.country</v>
      </c>
    </row>
    <row r="506" spans="1:6">
      <c r="A506" s="25" t="s">
        <v>724</v>
      </c>
      <c r="B506" s="25" t="s">
        <v>738</v>
      </c>
      <c r="C506" s="25" t="s">
        <v>387</v>
      </c>
      <c r="D506" s="32">
        <v>3</v>
      </c>
      <c r="E506" s="25" t="s">
        <v>388</v>
      </c>
      <c r="F506" s="25" t="str">
        <f t="shared" si="10"/>
        <v>message.merchant.terminalCountryCode</v>
      </c>
    </row>
    <row r="507" spans="1:6">
      <c r="A507" s="25" t="s">
        <v>724</v>
      </c>
      <c r="B507" s="25" t="s">
        <v>739</v>
      </c>
      <c r="C507" s="25" t="s">
        <v>387</v>
      </c>
      <c r="D507" s="32">
        <v>4</v>
      </c>
      <c r="E507" s="25" t="s">
        <v>388</v>
      </c>
      <c r="F507" s="25" t="str">
        <f t="shared" si="10"/>
        <v>message.merchant.categoryCode</v>
      </c>
    </row>
    <row r="508" spans="1:6">
      <c r="A508" s="25" t="s">
        <v>724</v>
      </c>
      <c r="B508" s="25" t="s">
        <v>539</v>
      </c>
      <c r="C508" s="25" t="s">
        <v>387</v>
      </c>
      <c r="D508" s="32">
        <v>80</v>
      </c>
      <c r="E508" s="25" t="s">
        <v>388</v>
      </c>
      <c r="F508" s="25" t="str">
        <f t="shared" si="10"/>
        <v>message.merchant.state</v>
      </c>
    </row>
    <row r="509" spans="1:6">
      <c r="A509" s="25" t="s">
        <v>724</v>
      </c>
      <c r="B509" s="25" t="s">
        <v>740</v>
      </c>
      <c r="C509" s="25" t="s">
        <v>387</v>
      </c>
      <c r="D509" s="32">
        <v>2</v>
      </c>
      <c r="E509" s="25" t="s">
        <v>388</v>
      </c>
      <c r="F509" s="25" t="str">
        <f t="shared" si="10"/>
        <v>message.merchant.terminalType</v>
      </c>
    </row>
    <row r="510" spans="1:6">
      <c r="A510" s="25" t="s">
        <v>741</v>
      </c>
      <c r="B510" s="25" t="s">
        <v>742</v>
      </c>
      <c r="C510" s="25" t="s">
        <v>691</v>
      </c>
      <c r="E510" s="25" t="s">
        <v>388</v>
      </c>
      <c r="F510" s="25" t="str">
        <f t="shared" si="10"/>
        <v>message.payment.beneficiaryCreatedDt</v>
      </c>
    </row>
    <row r="511" spans="1:6">
      <c r="A511" s="25" t="s">
        <v>741</v>
      </c>
      <c r="B511" s="25" t="s">
        <v>557</v>
      </c>
      <c r="C511" s="25" t="s">
        <v>387</v>
      </c>
      <c r="D511" s="32">
        <v>100</v>
      </c>
      <c r="E511" s="25" t="s">
        <v>388</v>
      </c>
      <c r="F511" s="25" t="str">
        <f t="shared" si="10"/>
        <v>message.payment.desc</v>
      </c>
    </row>
    <row r="512" spans="1:6">
      <c r="A512" s="25" t="s">
        <v>741</v>
      </c>
      <c r="B512" s="25" t="s">
        <v>743</v>
      </c>
      <c r="C512" s="25" t="s">
        <v>424</v>
      </c>
      <c r="E512" s="25" t="s">
        <v>388</v>
      </c>
      <c r="F512" s="25" t="str">
        <f t="shared" si="10"/>
        <v>message.payment.trustedBeneficiaryFlg</v>
      </c>
    </row>
    <row r="513" spans="1:6">
      <c r="A513" s="25" t="s">
        <v>741</v>
      </c>
      <c r="B513" s="25" t="s">
        <v>744</v>
      </c>
      <c r="C513" s="25" t="s">
        <v>424</v>
      </c>
      <c r="E513" s="25" t="s">
        <v>388</v>
      </c>
      <c r="F513" s="25" t="str">
        <f t="shared" si="10"/>
        <v>message.payment.templateFlg</v>
      </c>
    </row>
    <row r="514" spans="1:6">
      <c r="A514" s="25" t="s">
        <v>741</v>
      </c>
      <c r="B514" s="25" t="s">
        <v>745</v>
      </c>
      <c r="C514" s="25" t="s">
        <v>691</v>
      </c>
      <c r="E514" s="25" t="s">
        <v>388</v>
      </c>
      <c r="F514" s="25" t="str">
        <f t="shared" si="10"/>
        <v>message.payment.creditDt</v>
      </c>
    </row>
    <row r="515" spans="1:6">
      <c r="A515" s="25" t="s">
        <v>741</v>
      </c>
      <c r="B515" s="25" t="s">
        <v>746</v>
      </c>
      <c r="C515" s="25" t="s">
        <v>387</v>
      </c>
      <c r="D515" s="32">
        <v>100</v>
      </c>
      <c r="E515" s="25" t="s">
        <v>388</v>
      </c>
      <c r="F515" s="25" t="str">
        <f t="shared" si="10"/>
        <v>message.payment.batchIdentifier</v>
      </c>
    </row>
    <row r="516" spans="1:6">
      <c r="A516" s="25" t="s">
        <v>741</v>
      </c>
      <c r="B516" s="25" t="s">
        <v>747</v>
      </c>
      <c r="C516" s="25" t="s">
        <v>691</v>
      </c>
      <c r="E516" s="25" t="s">
        <v>388</v>
      </c>
      <c r="F516" s="25" t="str">
        <f t="shared" si="10"/>
        <v>message.payment.currencyCutoffDt</v>
      </c>
    </row>
    <row r="517" spans="1:6">
      <c r="A517" s="25" t="s">
        <v>741</v>
      </c>
      <c r="B517" s="25" t="s">
        <v>748</v>
      </c>
      <c r="C517" s="25" t="s">
        <v>424</v>
      </c>
      <c r="E517" s="25" t="s">
        <v>388</v>
      </c>
      <c r="F517" s="25" t="str">
        <f t="shared" si="10"/>
        <v>message.payment.reversalFlg</v>
      </c>
    </row>
    <row r="518" spans="1:6">
      <c r="A518" s="25" t="s">
        <v>741</v>
      </c>
      <c r="B518" s="25" t="s">
        <v>471</v>
      </c>
      <c r="C518" s="25" t="s">
        <v>387</v>
      </c>
      <c r="D518" s="32">
        <v>100</v>
      </c>
      <c r="E518" s="25" t="s">
        <v>388</v>
      </c>
      <c r="F518" s="25" t="str">
        <f t="shared" si="10"/>
        <v>message.payment.subType</v>
      </c>
    </row>
    <row r="519" spans="1:6">
      <c r="A519" s="25" t="s">
        <v>741</v>
      </c>
      <c r="B519" s="25" t="s">
        <v>439</v>
      </c>
      <c r="C519" s="25" t="s">
        <v>387</v>
      </c>
      <c r="D519" s="32">
        <v>50</v>
      </c>
      <c r="E519" s="25" t="s">
        <v>388</v>
      </c>
      <c r="F519" s="25" t="str">
        <f t="shared" si="10"/>
        <v>message.payment.statusDesc</v>
      </c>
    </row>
    <row r="520" spans="1:6">
      <c r="A520" s="25" t="s">
        <v>741</v>
      </c>
      <c r="B520" s="25" t="s">
        <v>470</v>
      </c>
      <c r="C520" s="25" t="s">
        <v>418</v>
      </c>
      <c r="E520" s="25" t="s">
        <v>388</v>
      </c>
      <c r="F520" s="25" t="str">
        <f t="shared" si="10"/>
        <v>message.payment.usdAmount</v>
      </c>
    </row>
    <row r="521" spans="1:6">
      <c r="A521" s="25" t="s">
        <v>741</v>
      </c>
      <c r="B521" s="25" t="s">
        <v>749</v>
      </c>
      <c r="C521" s="25" t="s">
        <v>387</v>
      </c>
      <c r="D521" s="32">
        <v>3</v>
      </c>
      <c r="E521" s="25" t="s">
        <v>388</v>
      </c>
      <c r="F521" s="25" t="str">
        <f t="shared" si="10"/>
        <v>message.payment.debitCurrency</v>
      </c>
    </row>
    <row r="522" spans="1:6">
      <c r="A522" s="25" t="s">
        <v>741</v>
      </c>
      <c r="B522" s="25" t="s">
        <v>750</v>
      </c>
      <c r="C522" s="25" t="s">
        <v>387</v>
      </c>
      <c r="D522" s="32">
        <v>20</v>
      </c>
      <c r="E522" s="25" t="s">
        <v>388</v>
      </c>
      <c r="F522" s="25" t="str">
        <f t="shared" si="10"/>
        <v>message.payment.revision</v>
      </c>
    </row>
    <row r="523" spans="1:6">
      <c r="A523" s="25" t="s">
        <v>741</v>
      </c>
      <c r="B523" s="25" t="s">
        <v>751</v>
      </c>
      <c r="C523" s="25" t="s">
        <v>691</v>
      </c>
      <c r="E523" s="25" t="s">
        <v>388</v>
      </c>
      <c r="F523" s="25" t="str">
        <f t="shared" si="10"/>
        <v>message.payment.templateCreatedDt</v>
      </c>
    </row>
    <row r="524" spans="1:6">
      <c r="A524" s="25" t="s">
        <v>741</v>
      </c>
      <c r="B524" s="25" t="s">
        <v>752</v>
      </c>
      <c r="C524" s="25" t="s">
        <v>424</v>
      </c>
      <c r="E524" s="25" t="s">
        <v>388</v>
      </c>
      <c r="F524" s="25" t="str">
        <f t="shared" si="10"/>
        <v>message.payment.newBeneficiaryFlg</v>
      </c>
    </row>
    <row r="525" spans="1:6">
      <c r="A525" s="25" t="s">
        <v>741</v>
      </c>
      <c r="B525" s="25" t="s">
        <v>464</v>
      </c>
      <c r="C525" s="25" t="s">
        <v>387</v>
      </c>
      <c r="D525" s="32">
        <v>20</v>
      </c>
      <c r="E525" s="25" t="s">
        <v>388</v>
      </c>
      <c r="F525" s="25" t="str">
        <f t="shared" si="10"/>
        <v>message.payment.status</v>
      </c>
    </row>
    <row r="526" spans="1:6">
      <c r="A526" s="25" t="s">
        <v>741</v>
      </c>
      <c r="B526" s="25" t="s">
        <v>753</v>
      </c>
      <c r="C526" s="25" t="s">
        <v>387</v>
      </c>
      <c r="D526" s="32">
        <v>3</v>
      </c>
      <c r="E526" s="25" t="s">
        <v>388</v>
      </c>
      <c r="F526" s="25" t="str">
        <f t="shared" si="10"/>
        <v>message.payment.debitCurrencyCode</v>
      </c>
    </row>
    <row r="527" spans="1:6">
      <c r="A527" s="25" t="s">
        <v>741</v>
      </c>
      <c r="B527" s="25" t="s">
        <v>754</v>
      </c>
      <c r="C527" s="25" t="s">
        <v>387</v>
      </c>
      <c r="D527" s="32">
        <v>100</v>
      </c>
      <c r="E527" s="25" t="s">
        <v>388</v>
      </c>
      <c r="F527" s="25" t="str">
        <f t="shared" si="10"/>
        <v>message.payment.debitDetails</v>
      </c>
    </row>
    <row r="528" spans="1:6">
      <c r="A528" s="25" t="s">
        <v>741</v>
      </c>
      <c r="B528" s="25" t="s">
        <v>410</v>
      </c>
      <c r="C528" s="25" t="s">
        <v>387</v>
      </c>
      <c r="D528" s="32">
        <v>20</v>
      </c>
      <c r="E528" s="25" t="s">
        <v>388</v>
      </c>
      <c r="F528" s="25" t="str">
        <f t="shared" si="10"/>
        <v>message.payment.type</v>
      </c>
    </row>
    <row r="529" spans="1:6">
      <c r="A529" s="25" t="s">
        <v>741</v>
      </c>
      <c r="B529" s="25" t="s">
        <v>755</v>
      </c>
      <c r="C529" s="25" t="s">
        <v>387</v>
      </c>
      <c r="D529" s="32">
        <v>10</v>
      </c>
      <c r="E529" s="25" t="s">
        <v>388</v>
      </c>
      <c r="F529" s="25" t="str">
        <f t="shared" si="10"/>
        <v>message.payment.scheduleDetails</v>
      </c>
    </row>
    <row r="530" spans="1:6">
      <c r="A530" s="25" t="s">
        <v>741</v>
      </c>
      <c r="B530" s="25" t="s">
        <v>756</v>
      </c>
      <c r="C530" s="25" t="s">
        <v>387</v>
      </c>
      <c r="D530" s="32">
        <v>1</v>
      </c>
      <c r="E530" s="25" t="s">
        <v>388</v>
      </c>
      <c r="F530" s="25" t="str">
        <f t="shared" si="10"/>
        <v>message.payment.scheduleInd</v>
      </c>
    </row>
    <row r="531" spans="1:6">
      <c r="A531" s="25" t="s">
        <v>741</v>
      </c>
      <c r="B531" s="25" t="s">
        <v>757</v>
      </c>
      <c r="C531" s="25" t="s">
        <v>387</v>
      </c>
      <c r="D531" s="32">
        <v>3</v>
      </c>
      <c r="E531" s="25" t="s">
        <v>388</v>
      </c>
      <c r="F531" s="25" t="str">
        <f t="shared" si="10"/>
        <v>message.payment.creditCurrency</v>
      </c>
    </row>
    <row r="532" spans="1:6">
      <c r="A532" s="25" t="s">
        <v>741</v>
      </c>
      <c r="B532" s="25" t="s">
        <v>758</v>
      </c>
      <c r="C532" s="25" t="s">
        <v>424</v>
      </c>
      <c r="E532" s="25" t="s">
        <v>388</v>
      </c>
      <c r="F532" s="25" t="str">
        <f t="shared" si="10"/>
        <v>message.payment.batchFlg</v>
      </c>
    </row>
    <row r="533" spans="1:6">
      <c r="A533" s="25" t="s">
        <v>741</v>
      </c>
      <c r="B533" s="25" t="s">
        <v>759</v>
      </c>
      <c r="C533" s="25" t="s">
        <v>691</v>
      </c>
      <c r="E533" s="25" t="s">
        <v>388</v>
      </c>
      <c r="F533" s="25" t="str">
        <f t="shared" si="10"/>
        <v>message.payment.valueDt</v>
      </c>
    </row>
    <row r="534" spans="1:6">
      <c r="A534" s="25" t="s">
        <v>741</v>
      </c>
      <c r="B534" s="25" t="s">
        <v>760</v>
      </c>
      <c r="C534" s="25" t="s">
        <v>691</v>
      </c>
      <c r="E534" s="25" t="s">
        <v>388</v>
      </c>
      <c r="F534" s="25" t="str">
        <f t="shared" ref="F534:F557" si="11">CONCATENATE("message.",A534,".",B534)</f>
        <v>message.payment.debitDt</v>
      </c>
    </row>
    <row r="535" spans="1:6">
      <c r="A535" s="25" t="s">
        <v>741</v>
      </c>
      <c r="B535" s="25" t="s">
        <v>761</v>
      </c>
      <c r="C535" s="25" t="s">
        <v>387</v>
      </c>
      <c r="D535" s="32">
        <v>100</v>
      </c>
      <c r="E535" s="25" t="s">
        <v>388</v>
      </c>
      <c r="F535" s="25" t="str">
        <f t="shared" si="11"/>
        <v>message.payment.billingReferenceNumber</v>
      </c>
    </row>
    <row r="536" spans="1:6">
      <c r="A536" s="25" t="s">
        <v>741</v>
      </c>
      <c r="B536" s="25" t="s">
        <v>762</v>
      </c>
      <c r="C536" s="25" t="s">
        <v>387</v>
      </c>
      <c r="D536" s="32">
        <v>20</v>
      </c>
      <c r="E536" s="25" t="s">
        <v>388</v>
      </c>
      <c r="F536" s="25" t="str">
        <f t="shared" si="11"/>
        <v>message.payment.direction</v>
      </c>
    </row>
    <row r="537" spans="1:6">
      <c r="A537" s="25" t="s">
        <v>741</v>
      </c>
      <c r="B537" s="25" t="s">
        <v>763</v>
      </c>
      <c r="C537" s="25" t="s">
        <v>413</v>
      </c>
      <c r="E537" s="25" t="s">
        <v>388</v>
      </c>
      <c r="F537" s="25" t="str">
        <f t="shared" si="11"/>
        <v>message.payment.batchCount</v>
      </c>
    </row>
    <row r="538" spans="1:6">
      <c r="A538" s="25" t="s">
        <v>741</v>
      </c>
      <c r="B538" s="25" t="s">
        <v>764</v>
      </c>
      <c r="C538" s="25" t="s">
        <v>387</v>
      </c>
      <c r="D538" s="32">
        <v>100</v>
      </c>
      <c r="E538" s="25" t="s">
        <v>388</v>
      </c>
      <c r="F538" s="25" t="str">
        <f t="shared" si="11"/>
        <v>message.payment.creditReference</v>
      </c>
    </row>
    <row r="539" spans="1:6">
      <c r="A539" s="25" t="s">
        <v>741</v>
      </c>
      <c r="B539" s="25" t="s">
        <v>765</v>
      </c>
      <c r="C539" s="25" t="s">
        <v>691</v>
      </c>
      <c r="E539" s="25" t="s">
        <v>388</v>
      </c>
      <c r="F539" s="25" t="str">
        <f t="shared" si="11"/>
        <v>message.payment.createdDt</v>
      </c>
    </row>
    <row r="540" spans="1:6">
      <c r="A540" s="25" t="s">
        <v>741</v>
      </c>
      <c r="B540" s="25" t="s">
        <v>766</v>
      </c>
      <c r="C540" s="25" t="s">
        <v>387</v>
      </c>
      <c r="D540" s="32">
        <v>100</v>
      </c>
      <c r="E540" s="25" t="s">
        <v>388</v>
      </c>
      <c r="F540" s="25" t="str">
        <f t="shared" si="11"/>
        <v>message.payment.creditDetails</v>
      </c>
    </row>
    <row r="541" spans="1:6">
      <c r="A541" s="25" t="s">
        <v>741</v>
      </c>
      <c r="B541" s="25" t="s">
        <v>767</v>
      </c>
      <c r="C541" s="25" t="s">
        <v>387</v>
      </c>
      <c r="D541" s="32">
        <v>100</v>
      </c>
      <c r="E541" s="25" t="s">
        <v>388</v>
      </c>
      <c r="F541" s="25" t="str">
        <f t="shared" si="11"/>
        <v>message.payment.batchReferenceNumber</v>
      </c>
    </row>
    <row r="542" spans="1:6">
      <c r="A542" s="25" t="s">
        <v>741</v>
      </c>
      <c r="B542" s="25" t="s">
        <v>451</v>
      </c>
      <c r="C542" s="25" t="s">
        <v>418</v>
      </c>
      <c r="E542" s="25" t="s">
        <v>388</v>
      </c>
      <c r="F542" s="25" t="str">
        <f t="shared" si="11"/>
        <v>message.payment.amount</v>
      </c>
    </row>
    <row r="543" spans="1:6">
      <c r="A543" s="25" t="s">
        <v>741</v>
      </c>
      <c r="B543" s="25" t="s">
        <v>768</v>
      </c>
      <c r="C543" s="25" t="s">
        <v>424</v>
      </c>
      <c r="E543" s="25" t="s">
        <v>388</v>
      </c>
      <c r="F543" s="25" t="str">
        <f t="shared" si="11"/>
        <v>message.payment.scheduleFlg</v>
      </c>
    </row>
    <row r="544" spans="1:6">
      <c r="A544" s="25" t="s">
        <v>741</v>
      </c>
      <c r="B544" s="25" t="s">
        <v>769</v>
      </c>
      <c r="C544" s="25" t="s">
        <v>387</v>
      </c>
      <c r="D544" s="32">
        <v>100</v>
      </c>
      <c r="E544" s="25" t="s">
        <v>388</v>
      </c>
      <c r="F544" s="25" t="str">
        <f t="shared" si="11"/>
        <v>message.payment.referenceNumber</v>
      </c>
    </row>
    <row r="545" spans="1:6">
      <c r="A545" s="25" t="s">
        <v>741</v>
      </c>
      <c r="B545" s="25" t="s">
        <v>770</v>
      </c>
      <c r="C545" s="25" t="s">
        <v>424</v>
      </c>
      <c r="E545" s="25" t="s">
        <v>388</v>
      </c>
      <c r="F545" s="25" t="str">
        <f t="shared" si="11"/>
        <v>message.payment.directDebitFlg</v>
      </c>
    </row>
    <row r="546" spans="1:6">
      <c r="A546" s="25" t="s">
        <v>741</v>
      </c>
      <c r="B546" s="25" t="s">
        <v>771</v>
      </c>
      <c r="C546" s="25" t="s">
        <v>387</v>
      </c>
      <c r="D546" s="32">
        <v>100</v>
      </c>
      <c r="E546" s="25" t="s">
        <v>388</v>
      </c>
      <c r="F546" s="25" t="str">
        <f t="shared" si="11"/>
        <v>message.payment.debitReference</v>
      </c>
    </row>
    <row r="547" spans="1:6">
      <c r="A547" s="25" t="s">
        <v>741</v>
      </c>
      <c r="B547" s="25" t="s">
        <v>772</v>
      </c>
      <c r="C547" s="25" t="s">
        <v>387</v>
      </c>
      <c r="D547" s="32">
        <v>3</v>
      </c>
      <c r="E547" s="25" t="s">
        <v>388</v>
      </c>
      <c r="F547" s="25" t="str">
        <f t="shared" si="11"/>
        <v>message.payment.creditCurrencyCode</v>
      </c>
    </row>
    <row r="548" spans="1:6">
      <c r="A548" s="25" t="s">
        <v>773</v>
      </c>
      <c r="B548" s="25" t="s">
        <v>774</v>
      </c>
      <c r="C548" s="25" t="s">
        <v>387</v>
      </c>
      <c r="D548" s="32">
        <v>36</v>
      </c>
      <c r="E548" s="25" t="s">
        <v>388</v>
      </c>
      <c r="F548" s="25" t="str">
        <f t="shared" si="11"/>
        <v>message.phone.line</v>
      </c>
    </row>
    <row r="549" spans="1:6">
      <c r="A549" s="25" t="s">
        <v>773</v>
      </c>
      <c r="B549" s="25" t="s">
        <v>775</v>
      </c>
      <c r="C549" s="25" t="s">
        <v>387</v>
      </c>
      <c r="D549" s="32">
        <v>36</v>
      </c>
      <c r="E549" s="25" t="s">
        <v>388</v>
      </c>
      <c r="F549" s="25" t="str">
        <f t="shared" si="11"/>
        <v>message.phone.extension</v>
      </c>
    </row>
    <row r="550" spans="1:6">
      <c r="A550" s="25" t="s">
        <v>773</v>
      </c>
      <c r="B550" s="25" t="s">
        <v>776</v>
      </c>
      <c r="C550" s="25" t="s">
        <v>387</v>
      </c>
      <c r="D550" s="32">
        <v>10</v>
      </c>
      <c r="E550" s="25" t="s">
        <v>388</v>
      </c>
      <c r="F550" s="25" t="str">
        <f t="shared" si="11"/>
        <v>message.phone.areaCode</v>
      </c>
    </row>
    <row r="551" spans="1:6">
      <c r="A551" s="25" t="s">
        <v>773</v>
      </c>
      <c r="B551" s="25" t="s">
        <v>533</v>
      </c>
      <c r="C551" s="25" t="s">
        <v>387</v>
      </c>
      <c r="D551" s="32">
        <v>10</v>
      </c>
      <c r="E551" s="25" t="s">
        <v>388</v>
      </c>
      <c r="F551" s="25" t="str">
        <f t="shared" si="11"/>
        <v>message.phone.countryCode</v>
      </c>
    </row>
    <row r="552" spans="1:6">
      <c r="A552" s="25" t="s">
        <v>773</v>
      </c>
      <c r="B552" s="25" t="s">
        <v>410</v>
      </c>
      <c r="C552" s="25" t="s">
        <v>387</v>
      </c>
      <c r="D552" s="32">
        <v>20</v>
      </c>
      <c r="E552" s="25" t="s">
        <v>388</v>
      </c>
      <c r="F552" s="25" t="str">
        <f t="shared" si="11"/>
        <v>message.phone.type</v>
      </c>
    </row>
    <row r="553" spans="1:6">
      <c r="A553" s="25" t="s">
        <v>773</v>
      </c>
      <c r="B553" s="25" t="s">
        <v>693</v>
      </c>
      <c r="C553" s="25" t="s">
        <v>691</v>
      </c>
      <c r="E553" s="25" t="s">
        <v>388</v>
      </c>
      <c r="F553" s="25" t="str">
        <f t="shared" si="11"/>
        <v>message.phone.lastChangeDt</v>
      </c>
    </row>
    <row r="554" spans="1:6">
      <c r="A554" s="25" t="s">
        <v>773</v>
      </c>
      <c r="B554" s="25" t="s">
        <v>720</v>
      </c>
      <c r="C554" s="25" t="s">
        <v>387</v>
      </c>
      <c r="D554" s="32">
        <v>36</v>
      </c>
      <c r="E554" s="25" t="s">
        <v>388</v>
      </c>
      <c r="F554" s="25" t="str">
        <f t="shared" si="11"/>
        <v>message.phone.full</v>
      </c>
    </row>
    <row r="555" spans="1:6">
      <c r="A555" s="25" t="s">
        <v>773</v>
      </c>
      <c r="B555" s="25" t="s">
        <v>777</v>
      </c>
      <c r="C555" s="25" t="s">
        <v>387</v>
      </c>
      <c r="D555" s="32">
        <v>10</v>
      </c>
      <c r="E555" s="25" t="s">
        <v>388</v>
      </c>
      <c r="F555" s="25" t="str">
        <f t="shared" si="11"/>
        <v>message.phone.prefix</v>
      </c>
    </row>
    <row r="556" spans="1:6">
      <c r="A556" s="25" t="s">
        <v>773</v>
      </c>
      <c r="B556" s="25" t="s">
        <v>690</v>
      </c>
      <c r="C556" s="25" t="s">
        <v>691</v>
      </c>
      <c r="E556" s="25" t="s">
        <v>388</v>
      </c>
      <c r="F556" s="25" t="str">
        <f t="shared" si="11"/>
        <v>message.phone.validTo</v>
      </c>
    </row>
    <row r="557" spans="1:6">
      <c r="A557" s="25" t="s">
        <v>773</v>
      </c>
      <c r="B557" s="25" t="s">
        <v>692</v>
      </c>
      <c r="C557" s="25" t="s">
        <v>691</v>
      </c>
      <c r="E557" s="25" t="s">
        <v>388</v>
      </c>
      <c r="F557" s="25" t="str">
        <f t="shared" si="11"/>
        <v>message.phone.validFrom</v>
      </c>
    </row>
  </sheetData>
  <sortState xmlns:xlrd2="http://schemas.microsoft.com/office/spreadsheetml/2017/richdata2" ref="A2:G462">
    <sortCondition ref="A2:A462"/>
  </sortState>
  <dataValidations count="1">
    <dataValidation type="list" allowBlank="1" showInputMessage="1" showErrorMessage="1" sqref="G2:G499" xr:uid="{00000000-0002-0000-0300-000000000000}">
      <formula1>"Required,Optional"</formula1>
    </dataValidation>
  </dataValidation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8450B-32BA-4B28-B276-D3EA461AA5B7}">
  <sheetPr>
    <tabColor rgb="FF00B0F0"/>
  </sheetPr>
  <dimension ref="A1:G64"/>
  <sheetViews>
    <sheetView tabSelected="1" workbookViewId="0">
      <selection activeCell="C1" sqref="C1:C1048576"/>
    </sheetView>
  </sheetViews>
  <sheetFormatPr defaultRowHeight="15"/>
  <cols>
    <col min="1" max="1" width="100" bestFit="1" customWidth="1"/>
    <col min="2" max="2" width="35.42578125" style="50" bestFit="1" customWidth="1"/>
    <col min="3" max="3" width="13.42578125" style="50" bestFit="1" customWidth="1"/>
    <col min="4" max="4" width="18.5703125" bestFit="1" customWidth="1"/>
    <col min="5" max="5" width="12.5703125" bestFit="1" customWidth="1"/>
    <col min="6" max="6" width="18.85546875" bestFit="1" customWidth="1"/>
    <col min="7" max="7" width="21.85546875" bestFit="1" customWidth="1"/>
  </cols>
  <sheetData>
    <row r="1" spans="1:7" s="3" customFormat="1">
      <c r="A1" s="22" t="s">
        <v>778</v>
      </c>
      <c r="B1" s="49" t="s">
        <v>779</v>
      </c>
      <c r="C1" s="49" t="s">
        <v>780</v>
      </c>
      <c r="D1" s="45" t="s">
        <v>781</v>
      </c>
      <c r="E1" s="46" t="s">
        <v>782</v>
      </c>
      <c r="F1" s="47" t="s">
        <v>783</v>
      </c>
      <c r="G1" s="48" t="s">
        <v>784</v>
      </c>
    </row>
    <row r="2" spans="1:7">
      <c r="A2" t="s">
        <v>785</v>
      </c>
      <c r="B2" s="50" t="s">
        <v>786</v>
      </c>
      <c r="C2" s="50" t="s">
        <v>787</v>
      </c>
      <c r="D2" t="s">
        <v>788</v>
      </c>
      <c r="E2" t="s">
        <v>788</v>
      </c>
      <c r="F2" t="s">
        <v>788</v>
      </c>
      <c r="G2" t="s">
        <v>789</v>
      </c>
    </row>
    <row r="3" spans="1:7">
      <c r="A3" t="s">
        <v>790</v>
      </c>
      <c r="B3" s="50" t="s">
        <v>791</v>
      </c>
      <c r="C3" s="50" t="s">
        <v>787</v>
      </c>
      <c r="D3" t="s">
        <v>788</v>
      </c>
      <c r="E3" t="s">
        <v>788</v>
      </c>
      <c r="F3" t="s">
        <v>788</v>
      </c>
      <c r="G3" t="s">
        <v>789</v>
      </c>
    </row>
    <row r="4" spans="1:7">
      <c r="A4" t="s">
        <v>792</v>
      </c>
      <c r="B4" s="50" t="s">
        <v>793</v>
      </c>
      <c r="C4" s="50" t="s">
        <v>787</v>
      </c>
      <c r="D4" t="s">
        <v>788</v>
      </c>
      <c r="E4" t="s">
        <v>788</v>
      </c>
      <c r="F4" t="s">
        <v>788</v>
      </c>
      <c r="G4" t="s">
        <v>789</v>
      </c>
    </row>
    <row r="5" spans="1:7">
      <c r="A5" t="s">
        <v>794</v>
      </c>
      <c r="B5" s="50" t="s">
        <v>795</v>
      </c>
      <c r="C5" s="50" t="s">
        <v>787</v>
      </c>
      <c r="D5" t="s">
        <v>796</v>
      </c>
      <c r="E5" t="s">
        <v>796</v>
      </c>
      <c r="F5" t="s">
        <v>796</v>
      </c>
      <c r="G5" t="s">
        <v>789</v>
      </c>
    </row>
    <row r="6" spans="1:7">
      <c r="A6" t="s">
        <v>797</v>
      </c>
      <c r="B6" s="50" t="s">
        <v>798</v>
      </c>
      <c r="C6" s="50" t="s">
        <v>799</v>
      </c>
      <c r="D6" t="s">
        <v>796</v>
      </c>
      <c r="E6" t="s">
        <v>796</v>
      </c>
      <c r="F6" t="s">
        <v>788</v>
      </c>
      <c r="G6" t="s">
        <v>800</v>
      </c>
    </row>
    <row r="7" spans="1:7">
      <c r="A7" t="s">
        <v>801</v>
      </c>
      <c r="B7" s="50" t="s">
        <v>802</v>
      </c>
      <c r="C7" s="50" t="s">
        <v>799</v>
      </c>
      <c r="D7" t="s">
        <v>796</v>
      </c>
      <c r="E7" t="s">
        <v>796</v>
      </c>
      <c r="F7" t="s">
        <v>796</v>
      </c>
      <c r="G7" t="s">
        <v>789</v>
      </c>
    </row>
    <row r="8" spans="1:7">
      <c r="A8" t="s">
        <v>803</v>
      </c>
      <c r="B8" s="50" t="s">
        <v>804</v>
      </c>
      <c r="C8" s="50" t="s">
        <v>805</v>
      </c>
      <c r="D8" t="s">
        <v>788</v>
      </c>
      <c r="E8" t="s">
        <v>788</v>
      </c>
      <c r="F8" t="s">
        <v>788</v>
      </c>
      <c r="G8" t="s">
        <v>789</v>
      </c>
    </row>
    <row r="9" spans="1:7">
      <c r="A9" t="s">
        <v>806</v>
      </c>
      <c r="B9" s="50" t="s">
        <v>807</v>
      </c>
      <c r="C9" s="50" t="s">
        <v>805</v>
      </c>
      <c r="D9" t="s">
        <v>788</v>
      </c>
      <c r="E9" t="s">
        <v>788</v>
      </c>
      <c r="F9" t="s">
        <v>788</v>
      </c>
      <c r="G9" t="s">
        <v>789</v>
      </c>
    </row>
    <row r="10" spans="1:7">
      <c r="A10" t="s">
        <v>808</v>
      </c>
      <c r="B10" s="50" t="s">
        <v>809</v>
      </c>
      <c r="C10" s="50" t="s">
        <v>799</v>
      </c>
      <c r="E10" t="s">
        <v>796</v>
      </c>
      <c r="F10" t="s">
        <v>796</v>
      </c>
    </row>
    <row r="11" spans="1:7">
      <c r="A11" t="s">
        <v>810</v>
      </c>
      <c r="B11" s="50" t="s">
        <v>811</v>
      </c>
      <c r="C11" s="50" t="s">
        <v>787</v>
      </c>
      <c r="G11" t="s">
        <v>812</v>
      </c>
    </row>
    <row r="12" spans="1:7">
      <c r="A12" t="s">
        <v>813</v>
      </c>
      <c r="B12" s="50" t="s">
        <v>814</v>
      </c>
      <c r="C12" s="50" t="s">
        <v>787</v>
      </c>
      <c r="D12" t="s">
        <v>796</v>
      </c>
      <c r="E12" t="s">
        <v>796</v>
      </c>
      <c r="F12" t="s">
        <v>796</v>
      </c>
      <c r="G12" t="s">
        <v>789</v>
      </c>
    </row>
    <row r="13" spans="1:7">
      <c r="A13" t="s">
        <v>815</v>
      </c>
      <c r="B13" s="50" t="s">
        <v>816</v>
      </c>
      <c r="C13" s="50" t="s">
        <v>799</v>
      </c>
    </row>
    <row r="14" spans="1:7">
      <c r="A14" t="s">
        <v>817</v>
      </c>
      <c r="B14" s="50" t="s">
        <v>818</v>
      </c>
      <c r="C14" s="50" t="s">
        <v>799</v>
      </c>
      <c r="D14" t="s">
        <v>788</v>
      </c>
      <c r="E14" t="s">
        <v>796</v>
      </c>
      <c r="F14" t="s">
        <v>796</v>
      </c>
      <c r="G14" t="s">
        <v>789</v>
      </c>
    </row>
    <row r="15" spans="1:7">
      <c r="A15" t="s">
        <v>819</v>
      </c>
      <c r="B15" s="50" t="s">
        <v>820</v>
      </c>
      <c r="C15" s="50" t="s">
        <v>787</v>
      </c>
      <c r="D15" t="s">
        <v>788</v>
      </c>
      <c r="F15" t="s">
        <v>796</v>
      </c>
      <c r="G15" t="s">
        <v>789</v>
      </c>
    </row>
    <row r="16" spans="1:7">
      <c r="A16" t="s">
        <v>821</v>
      </c>
      <c r="B16" s="50" t="s">
        <v>822</v>
      </c>
      <c r="C16" s="50" t="s">
        <v>787</v>
      </c>
      <c r="D16" t="s">
        <v>788</v>
      </c>
      <c r="E16" t="s">
        <v>788</v>
      </c>
      <c r="F16" t="s">
        <v>788</v>
      </c>
      <c r="G16" t="s">
        <v>789</v>
      </c>
    </row>
    <row r="17" spans="1:7">
      <c r="A17" t="s">
        <v>823</v>
      </c>
      <c r="B17" s="50" t="s">
        <v>824</v>
      </c>
      <c r="C17" s="50" t="s">
        <v>787</v>
      </c>
      <c r="D17" t="s">
        <v>788</v>
      </c>
      <c r="E17" t="s">
        <v>788</v>
      </c>
      <c r="F17" t="s">
        <v>788</v>
      </c>
      <c r="G17" t="s">
        <v>789</v>
      </c>
    </row>
    <row r="18" spans="1:7">
      <c r="A18" t="s">
        <v>825</v>
      </c>
      <c r="B18" s="50" t="s">
        <v>826</v>
      </c>
      <c r="C18" s="50" t="s">
        <v>787</v>
      </c>
      <c r="D18" t="s">
        <v>788</v>
      </c>
      <c r="E18" t="s">
        <v>788</v>
      </c>
      <c r="F18" t="s">
        <v>788</v>
      </c>
      <c r="G18" t="s">
        <v>789</v>
      </c>
    </row>
    <row r="19" spans="1:7">
      <c r="A19" t="s">
        <v>827</v>
      </c>
      <c r="B19" s="50" t="s">
        <v>828</v>
      </c>
      <c r="C19" s="50" t="s">
        <v>787</v>
      </c>
      <c r="G19" t="s">
        <v>812</v>
      </c>
    </row>
    <row r="20" spans="1:7">
      <c r="A20" t="s">
        <v>829</v>
      </c>
      <c r="B20" s="50" t="s">
        <v>830</v>
      </c>
      <c r="C20" s="50" t="s">
        <v>787</v>
      </c>
      <c r="D20" t="s">
        <v>796</v>
      </c>
      <c r="E20" t="s">
        <v>796</v>
      </c>
      <c r="F20" t="s">
        <v>796</v>
      </c>
      <c r="G20" t="s">
        <v>789</v>
      </c>
    </row>
    <row r="21" spans="1:7">
      <c r="A21" t="s">
        <v>831</v>
      </c>
      <c r="B21" s="50" t="s">
        <v>832</v>
      </c>
      <c r="C21" s="50" t="s">
        <v>787</v>
      </c>
      <c r="G21" t="s">
        <v>789</v>
      </c>
    </row>
    <row r="22" spans="1:7">
      <c r="A22" t="s">
        <v>833</v>
      </c>
      <c r="B22" s="50" t="s">
        <v>834</v>
      </c>
      <c r="C22" s="50" t="s">
        <v>787</v>
      </c>
      <c r="D22" t="s">
        <v>796</v>
      </c>
      <c r="E22" t="s">
        <v>796</v>
      </c>
      <c r="F22" t="s">
        <v>796</v>
      </c>
      <c r="G22" t="s">
        <v>789</v>
      </c>
    </row>
    <row r="23" spans="1:7">
      <c r="A23" t="s">
        <v>835</v>
      </c>
      <c r="B23" s="50" t="s">
        <v>836</v>
      </c>
      <c r="C23" s="50" t="s">
        <v>787</v>
      </c>
      <c r="G23" t="s">
        <v>789</v>
      </c>
    </row>
    <row r="24" spans="1:7">
      <c r="A24" t="s">
        <v>837</v>
      </c>
      <c r="B24" s="50" t="s">
        <v>838</v>
      </c>
      <c r="C24" s="50" t="s">
        <v>787</v>
      </c>
      <c r="E24" t="s">
        <v>796</v>
      </c>
      <c r="F24" t="s">
        <v>796</v>
      </c>
      <c r="G24" t="s">
        <v>789</v>
      </c>
    </row>
    <row r="25" spans="1:7">
      <c r="A25" t="s">
        <v>839</v>
      </c>
      <c r="B25" s="50" t="s">
        <v>840</v>
      </c>
      <c r="C25" s="50" t="s">
        <v>787</v>
      </c>
      <c r="F25" t="s">
        <v>796</v>
      </c>
      <c r="G25" t="s">
        <v>789</v>
      </c>
    </row>
    <row r="26" spans="1:7">
      <c r="A26" t="s">
        <v>841</v>
      </c>
      <c r="B26" s="50" t="s">
        <v>842</v>
      </c>
      <c r="C26" s="50" t="s">
        <v>787</v>
      </c>
      <c r="G26" t="s">
        <v>789</v>
      </c>
    </row>
    <row r="27" spans="1:7">
      <c r="A27" t="s">
        <v>843</v>
      </c>
      <c r="B27" s="50" t="s">
        <v>844</v>
      </c>
      <c r="C27" s="50" t="s">
        <v>787</v>
      </c>
      <c r="E27" t="s">
        <v>796</v>
      </c>
      <c r="F27" t="s">
        <v>796</v>
      </c>
      <c r="G27" t="s">
        <v>789</v>
      </c>
    </row>
    <row r="28" spans="1:7">
      <c r="A28" t="s">
        <v>845</v>
      </c>
      <c r="B28" s="50" t="s">
        <v>846</v>
      </c>
      <c r="C28" s="50" t="s">
        <v>787</v>
      </c>
      <c r="F28" t="s">
        <v>796</v>
      </c>
      <c r="G28" t="s">
        <v>789</v>
      </c>
    </row>
    <row r="29" spans="1:7">
      <c r="A29" t="s">
        <v>847</v>
      </c>
      <c r="B29" s="50" t="s">
        <v>848</v>
      </c>
      <c r="C29" s="50" t="s">
        <v>787</v>
      </c>
      <c r="D29" t="s">
        <v>796</v>
      </c>
      <c r="E29" t="s">
        <v>796</v>
      </c>
      <c r="F29" t="s">
        <v>796</v>
      </c>
      <c r="G29" t="s">
        <v>789</v>
      </c>
    </row>
    <row r="30" spans="1:7">
      <c r="A30" t="s">
        <v>849</v>
      </c>
      <c r="B30" s="50" t="s">
        <v>850</v>
      </c>
      <c r="C30" s="50" t="s">
        <v>787</v>
      </c>
      <c r="D30" t="s">
        <v>788</v>
      </c>
      <c r="E30" t="s">
        <v>788</v>
      </c>
      <c r="F30" t="s">
        <v>812</v>
      </c>
      <c r="G30" t="s">
        <v>789</v>
      </c>
    </row>
    <row r="31" spans="1:7">
      <c r="A31" t="s">
        <v>851</v>
      </c>
      <c r="B31" s="50" t="s">
        <v>852</v>
      </c>
      <c r="C31" s="50" t="s">
        <v>805</v>
      </c>
      <c r="D31" t="s">
        <v>788</v>
      </c>
      <c r="E31" t="s">
        <v>788</v>
      </c>
      <c r="F31" t="s">
        <v>788</v>
      </c>
      <c r="G31" t="s">
        <v>789</v>
      </c>
    </row>
    <row r="32" spans="1:7">
      <c r="A32" t="s">
        <v>853</v>
      </c>
      <c r="B32" s="50" t="s">
        <v>854</v>
      </c>
      <c r="C32" s="50" t="s">
        <v>805</v>
      </c>
      <c r="D32" t="s">
        <v>788</v>
      </c>
      <c r="E32" t="s">
        <v>788</v>
      </c>
      <c r="F32" t="s">
        <v>788</v>
      </c>
      <c r="G32" t="s">
        <v>789</v>
      </c>
    </row>
    <row r="33" spans="1:7">
      <c r="A33" t="s">
        <v>855</v>
      </c>
      <c r="B33" s="50" t="s">
        <v>856</v>
      </c>
      <c r="C33" s="50" t="s">
        <v>805</v>
      </c>
      <c r="D33" t="s">
        <v>796</v>
      </c>
      <c r="E33" t="s">
        <v>796</v>
      </c>
      <c r="F33" t="s">
        <v>796</v>
      </c>
      <c r="G33" t="s">
        <v>789</v>
      </c>
    </row>
    <row r="34" spans="1:7">
      <c r="A34" t="s">
        <v>857</v>
      </c>
      <c r="B34" s="50" t="s">
        <v>858</v>
      </c>
      <c r="C34" s="50" t="s">
        <v>805</v>
      </c>
      <c r="F34" t="s">
        <v>796</v>
      </c>
    </row>
    <row r="35" spans="1:7">
      <c r="A35" t="s">
        <v>859</v>
      </c>
      <c r="B35" s="50" t="s">
        <v>860</v>
      </c>
      <c r="C35" s="50" t="s">
        <v>799</v>
      </c>
      <c r="D35" t="s">
        <v>788</v>
      </c>
      <c r="E35" t="s">
        <v>788</v>
      </c>
      <c r="F35" t="s">
        <v>789</v>
      </c>
    </row>
    <row r="36" spans="1:7">
      <c r="A36" t="s">
        <v>861</v>
      </c>
      <c r="B36" s="50" t="s">
        <v>862</v>
      </c>
      <c r="C36" s="50" t="s">
        <v>799</v>
      </c>
      <c r="D36" t="s">
        <v>788</v>
      </c>
      <c r="E36" t="s">
        <v>788</v>
      </c>
      <c r="F36" t="s">
        <v>789</v>
      </c>
    </row>
    <row r="37" spans="1:7">
      <c r="A37" t="s">
        <v>863</v>
      </c>
      <c r="B37" s="50" t="s">
        <v>864</v>
      </c>
      <c r="C37" s="50" t="s">
        <v>865</v>
      </c>
      <c r="D37" t="s">
        <v>796</v>
      </c>
      <c r="E37" t="s">
        <v>796</v>
      </c>
      <c r="F37" t="s">
        <v>796</v>
      </c>
      <c r="G37" t="s">
        <v>789</v>
      </c>
    </row>
    <row r="38" spans="1:7">
      <c r="A38" t="s">
        <v>866</v>
      </c>
      <c r="B38" s="50" t="s">
        <v>867</v>
      </c>
      <c r="C38" s="50" t="s">
        <v>787</v>
      </c>
      <c r="D38" t="s">
        <v>796</v>
      </c>
      <c r="E38" t="s">
        <v>796</v>
      </c>
      <c r="F38" t="s">
        <v>796</v>
      </c>
      <c r="G38" t="s">
        <v>789</v>
      </c>
    </row>
    <row r="39" spans="1:7">
      <c r="A39" t="s">
        <v>868</v>
      </c>
      <c r="B39" s="50" t="s">
        <v>869</v>
      </c>
      <c r="C39" s="50" t="s">
        <v>799</v>
      </c>
      <c r="D39" t="s">
        <v>788</v>
      </c>
      <c r="E39" t="s">
        <v>796</v>
      </c>
      <c r="F39" t="s">
        <v>796</v>
      </c>
      <c r="G39" t="s">
        <v>800</v>
      </c>
    </row>
    <row r="40" spans="1:7">
      <c r="A40" t="s">
        <v>870</v>
      </c>
      <c r="B40" s="50" t="s">
        <v>871</v>
      </c>
      <c r="C40" s="50" t="s">
        <v>799</v>
      </c>
      <c r="D40" t="s">
        <v>788</v>
      </c>
      <c r="E40" t="s">
        <v>796</v>
      </c>
      <c r="F40" t="s">
        <v>796</v>
      </c>
      <c r="G40" t="s">
        <v>800</v>
      </c>
    </row>
    <row r="41" spans="1:7">
      <c r="A41" t="s">
        <v>872</v>
      </c>
      <c r="B41" s="50" t="s">
        <v>873</v>
      </c>
      <c r="C41" s="50" t="s">
        <v>799</v>
      </c>
      <c r="D41" t="s">
        <v>788</v>
      </c>
      <c r="E41" t="s">
        <v>788</v>
      </c>
      <c r="F41" t="s">
        <v>789</v>
      </c>
    </row>
    <row r="42" spans="1:7">
      <c r="A42" t="s">
        <v>874</v>
      </c>
      <c r="B42" s="50" t="s">
        <v>875</v>
      </c>
      <c r="C42" s="50" t="s">
        <v>805</v>
      </c>
      <c r="D42" t="s">
        <v>788</v>
      </c>
      <c r="E42" t="s">
        <v>788</v>
      </c>
      <c r="F42" t="s">
        <v>796</v>
      </c>
      <c r="G42" t="s">
        <v>800</v>
      </c>
    </row>
    <row r="43" spans="1:7">
      <c r="A43" t="s">
        <v>876</v>
      </c>
      <c r="B43" s="50" t="s">
        <v>877</v>
      </c>
      <c r="C43" s="50" t="s">
        <v>799</v>
      </c>
      <c r="D43" t="s">
        <v>788</v>
      </c>
      <c r="E43" t="s">
        <v>788</v>
      </c>
      <c r="F43" t="s">
        <v>796</v>
      </c>
      <c r="G43" t="s">
        <v>800</v>
      </c>
    </row>
    <row r="44" spans="1:7">
      <c r="A44" t="s">
        <v>878</v>
      </c>
      <c r="B44" s="50" t="s">
        <v>879</v>
      </c>
      <c r="C44" s="50" t="s">
        <v>799</v>
      </c>
      <c r="D44" t="s">
        <v>788</v>
      </c>
      <c r="E44" t="s">
        <v>788</v>
      </c>
      <c r="F44" t="s">
        <v>796</v>
      </c>
      <c r="G44" t="s">
        <v>800</v>
      </c>
    </row>
    <row r="45" spans="1:7">
      <c r="A45" t="s">
        <v>880</v>
      </c>
      <c r="B45" s="50" t="s">
        <v>881</v>
      </c>
      <c r="C45" s="50" t="s">
        <v>799</v>
      </c>
      <c r="D45" t="s">
        <v>796</v>
      </c>
      <c r="E45" t="s">
        <v>796</v>
      </c>
      <c r="F45" t="s">
        <v>796</v>
      </c>
      <c r="G45" t="s">
        <v>800</v>
      </c>
    </row>
    <row r="46" spans="1:7">
      <c r="A46" t="s">
        <v>882</v>
      </c>
      <c r="B46" s="50" t="s">
        <v>883</v>
      </c>
      <c r="C46" s="50" t="s">
        <v>799</v>
      </c>
      <c r="D46" t="s">
        <v>796</v>
      </c>
      <c r="E46" t="s">
        <v>796</v>
      </c>
      <c r="F46" t="s">
        <v>796</v>
      </c>
      <c r="G46" t="s">
        <v>789</v>
      </c>
    </row>
    <row r="47" spans="1:7">
      <c r="A47" t="s">
        <v>884</v>
      </c>
      <c r="B47" s="50" t="s">
        <v>885</v>
      </c>
      <c r="C47" s="50" t="s">
        <v>886</v>
      </c>
    </row>
    <row r="48" spans="1:7">
      <c r="A48" t="s">
        <v>887</v>
      </c>
      <c r="B48" s="50" t="s">
        <v>888</v>
      </c>
      <c r="C48" s="50" t="s">
        <v>886</v>
      </c>
    </row>
    <row r="49" spans="1:3">
      <c r="A49" t="s">
        <v>889</v>
      </c>
      <c r="B49" s="50" t="s">
        <v>890</v>
      </c>
      <c r="C49" s="50" t="s">
        <v>886</v>
      </c>
    </row>
    <row r="50" spans="1:3">
      <c r="A50" t="s">
        <v>891</v>
      </c>
      <c r="B50" s="50" t="s">
        <v>892</v>
      </c>
      <c r="C50" s="50" t="s">
        <v>886</v>
      </c>
    </row>
    <row r="51" spans="1:3">
      <c r="A51" t="s">
        <v>893</v>
      </c>
      <c r="B51" s="50" t="s">
        <v>894</v>
      </c>
      <c r="C51" s="50" t="s">
        <v>886</v>
      </c>
    </row>
    <row r="52" spans="1:3">
      <c r="A52" t="s">
        <v>895</v>
      </c>
      <c r="B52" s="50" t="s">
        <v>896</v>
      </c>
      <c r="C52" s="50" t="s">
        <v>886</v>
      </c>
    </row>
    <row r="53" spans="1:3">
      <c r="A53" t="s">
        <v>897</v>
      </c>
      <c r="B53" s="50" t="s">
        <v>898</v>
      </c>
      <c r="C53" s="50" t="s">
        <v>886</v>
      </c>
    </row>
    <row r="54" spans="1:3">
      <c r="A54" t="s">
        <v>899</v>
      </c>
      <c r="B54" s="50" t="s">
        <v>900</v>
      </c>
      <c r="C54" s="50" t="s">
        <v>886</v>
      </c>
    </row>
    <row r="55" spans="1:3">
      <c r="A55" t="s">
        <v>901</v>
      </c>
      <c r="B55" s="50" t="s">
        <v>902</v>
      </c>
      <c r="C55" s="50" t="s">
        <v>886</v>
      </c>
    </row>
    <row r="56" spans="1:3">
      <c r="A56" t="s">
        <v>903</v>
      </c>
      <c r="B56" s="50" t="s">
        <v>904</v>
      </c>
      <c r="C56" s="50" t="s">
        <v>886</v>
      </c>
    </row>
    <row r="57" spans="1:3">
      <c r="A57" t="s">
        <v>905</v>
      </c>
      <c r="B57" s="50" t="s">
        <v>906</v>
      </c>
      <c r="C57" s="50" t="s">
        <v>886</v>
      </c>
    </row>
    <row r="58" spans="1:3">
      <c r="A58" t="s">
        <v>907</v>
      </c>
      <c r="B58" s="50" t="s">
        <v>908</v>
      </c>
      <c r="C58" s="50" t="s">
        <v>886</v>
      </c>
    </row>
    <row r="59" spans="1:3">
      <c r="A59" t="s">
        <v>909</v>
      </c>
      <c r="B59" s="50" t="s">
        <v>910</v>
      </c>
      <c r="C59" s="50" t="s">
        <v>886</v>
      </c>
    </row>
    <row r="60" spans="1:3">
      <c r="A60" t="s">
        <v>911</v>
      </c>
      <c r="B60" s="50" t="s">
        <v>912</v>
      </c>
      <c r="C60" s="50" t="s">
        <v>886</v>
      </c>
    </row>
    <row r="61" spans="1:3">
      <c r="A61" t="s">
        <v>913</v>
      </c>
      <c r="B61" s="50" t="s">
        <v>914</v>
      </c>
      <c r="C61" s="50" t="s">
        <v>886</v>
      </c>
    </row>
    <row r="62" spans="1:3">
      <c r="A62" t="s">
        <v>915</v>
      </c>
      <c r="B62" s="50" t="s">
        <v>916</v>
      </c>
      <c r="C62" s="50" t="s">
        <v>886</v>
      </c>
    </row>
    <row r="63" spans="1:3">
      <c r="A63" t="s">
        <v>917</v>
      </c>
      <c r="B63" s="50" t="s">
        <v>918</v>
      </c>
      <c r="C63" s="50" t="s">
        <v>886</v>
      </c>
    </row>
    <row r="64" spans="1:3">
      <c r="A64" t="s">
        <v>919</v>
      </c>
      <c r="B64" s="50" t="s">
        <v>920</v>
      </c>
      <c r="C64" s="50" t="s">
        <v>886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6"/>
  <sheetViews>
    <sheetView workbookViewId="0">
      <selection activeCell="B14" sqref="B14"/>
    </sheetView>
  </sheetViews>
  <sheetFormatPr defaultRowHeight="15"/>
  <cols>
    <col min="1" max="1" width="27.5703125" customWidth="1"/>
    <col min="2" max="2" width="60.5703125" bestFit="1" customWidth="1"/>
    <col min="3" max="3" width="39.42578125" bestFit="1" customWidth="1"/>
    <col min="4" max="4" width="23" bestFit="1" customWidth="1"/>
    <col min="5" max="5" width="32.42578125" bestFit="1" customWidth="1"/>
    <col min="6" max="6" width="42.140625" customWidth="1"/>
    <col min="7" max="7" width="13.7109375" bestFit="1" customWidth="1"/>
    <col min="8" max="8" width="17.7109375" bestFit="1" customWidth="1"/>
    <col min="9" max="9" width="22.28515625" bestFit="1" customWidth="1"/>
    <col min="10" max="10" width="19.42578125" bestFit="1" customWidth="1"/>
  </cols>
  <sheetData>
    <row r="1" spans="1:10">
      <c r="A1" s="1" t="s">
        <v>921</v>
      </c>
      <c r="B1" s="1" t="s">
        <v>922</v>
      </c>
      <c r="C1" s="1" t="s">
        <v>11</v>
      </c>
      <c r="D1" s="1" t="s">
        <v>923</v>
      </c>
      <c r="E1" s="1" t="s">
        <v>924</v>
      </c>
      <c r="F1" s="1" t="s">
        <v>925</v>
      </c>
      <c r="G1" s="1" t="s">
        <v>926</v>
      </c>
      <c r="H1" s="1" t="s">
        <v>927</v>
      </c>
      <c r="I1" s="1" t="s">
        <v>928</v>
      </c>
      <c r="J1" s="1" t="s">
        <v>929</v>
      </c>
    </row>
    <row r="2" spans="1:10">
      <c r="B2" s="41" t="s">
        <v>228</v>
      </c>
    </row>
    <row r="3" spans="1:10">
      <c r="B3" s="41" t="s">
        <v>930</v>
      </c>
    </row>
    <row r="4" spans="1:10">
      <c r="B4" s="41" t="s">
        <v>931</v>
      </c>
    </row>
    <row r="5" spans="1:10">
      <c r="B5" s="41" t="s">
        <v>932</v>
      </c>
    </row>
    <row r="6" spans="1:10">
      <c r="B6" s="41" t="s">
        <v>933</v>
      </c>
    </row>
    <row r="7" spans="1:10">
      <c r="B7" s="41" t="s">
        <v>934</v>
      </c>
    </row>
    <row r="8" spans="1:10">
      <c r="B8" s="41" t="s">
        <v>935</v>
      </c>
    </row>
    <row r="9" spans="1:10">
      <c r="B9" s="41" t="s">
        <v>936</v>
      </c>
    </row>
    <row r="10" spans="1:10">
      <c r="B10" s="41" t="s">
        <v>937</v>
      </c>
    </row>
    <row r="11" spans="1:10">
      <c r="B11" s="41" t="s">
        <v>80</v>
      </c>
    </row>
    <row r="12" spans="1:10">
      <c r="B12" s="41" t="s">
        <v>138</v>
      </c>
    </row>
    <row r="13" spans="1:10">
      <c r="B13" s="41" t="s">
        <v>938</v>
      </c>
    </row>
    <row r="14" spans="1:10">
      <c r="B14" s="41" t="s">
        <v>91</v>
      </c>
    </row>
    <row r="15" spans="1:10">
      <c r="B15" s="41" t="s">
        <v>939</v>
      </c>
    </row>
    <row r="16" spans="1:10">
      <c r="B16" s="41" t="s">
        <v>940</v>
      </c>
    </row>
  </sheetData>
  <sortState xmlns:xlrd2="http://schemas.microsoft.com/office/spreadsheetml/2017/richdata2" ref="B2:B1048576">
    <sortCondition ref="B2:B1048576"/>
  </sortState>
  <pageMargins left="0.75" right="0.75" top="1" bottom="1" header="0.5" footer="0.5"/>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Belge" ma:contentTypeID="0x010100EC3B070530D8654BAD404EFFEE673E2D" ma:contentTypeVersion="17" ma:contentTypeDescription="Yeni belge oluşturun." ma:contentTypeScope="" ma:versionID="e5aab6b8a1996fef17bde8a54eb73326">
  <xsd:schema xmlns:xsd="http://www.w3.org/2001/XMLSchema" xmlns:xs="http://www.w3.org/2001/XMLSchema" xmlns:p="http://schemas.microsoft.com/office/2006/metadata/properties" xmlns:ns2="80e8e106-977e-4d13-8a6a-06eaf8217de2" xmlns:ns3="bdc96e2e-91a9-4b54-a1fa-89287d13e175" targetNamespace="http://schemas.microsoft.com/office/2006/metadata/properties" ma:root="true" ma:fieldsID="c7dd21ae422e464fc34db191f221235a" ns2:_="" ns3:_="">
    <xsd:import namespace="80e8e106-977e-4d13-8a6a-06eaf8217de2"/>
    <xsd:import namespace="bdc96e2e-91a9-4b54-a1fa-89287d13e17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astmodified" minOccurs="0"/>
                <xsd:element ref="ns3:MediaServiceDateTaken" minOccurs="0"/>
                <xsd:element ref="ns3:MediaLengthInSecond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element ref="ns3:MediaServiceBillingMetadata"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e8e106-977e-4d13-8a6a-06eaf8217de2" elementFormDefault="qualified">
    <xsd:import namespace="http://schemas.microsoft.com/office/2006/documentManagement/types"/>
    <xsd:import namespace="http://schemas.microsoft.com/office/infopath/2007/PartnerControls"/>
    <xsd:element name="SharedWithUsers" ma:index="8" nillable="true" ma:displayName="Paylaşılanla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Ayrıntıları ile Paylaşıldı" ma:internalName="SharedWithDetails" ma:readOnly="true">
      <xsd:simpleType>
        <xsd:restriction base="dms:Note">
          <xsd:maxLength value="255"/>
        </xsd:restriction>
      </xsd:simpleType>
    </xsd:element>
    <xsd:element name="TaxCatchAll" ma:index="17" nillable="true" ma:displayName="Taxonomy Catch All Column" ma:hidden="true" ma:list="{cba52e19-97fd-42ef-8beb-a4f1d67c7624}" ma:internalName="TaxCatchAll" ma:showField="CatchAllData" ma:web="80e8e106-977e-4d13-8a6a-06eaf8217de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dc96e2e-91a9-4b54-a1fa-89287d13e17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astmodified" ma:index="12" nillable="true" ma:displayName="Last modified" ma:description="Last modification date and time" ma:format="DateOnly" ma:internalName="Lastmodified">
      <xsd:simpleType>
        <xsd:restriction base="dms:DateTim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Resim Etiketleri" ma:readOnly="false" ma:fieldId="{5cf76f15-5ced-4ddc-b409-7134ff3c332f}" ma:taxonomyMulti="true" ma:sspId="c488beab-130e-4dac-baf8-54cc306cf6f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0e8e106-977e-4d13-8a6a-06eaf8217de2" xsi:nil="true"/>
    <lcf76f155ced4ddcb4097134ff3c332f xmlns="bdc96e2e-91a9-4b54-a1fa-89287d13e175">
      <Terms xmlns="http://schemas.microsoft.com/office/infopath/2007/PartnerControls"/>
    </lcf76f155ced4ddcb4097134ff3c332f>
    <Lastmodified xmlns="bdc96e2e-91a9-4b54-a1fa-89287d13e17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9C5376-60E9-4969-9AEC-F261B70FED5B}"/>
</file>

<file path=customXml/itemProps2.xml><?xml version="1.0" encoding="utf-8"?>
<ds:datastoreItem xmlns:ds="http://schemas.openxmlformats.org/officeDocument/2006/customXml" ds:itemID="{F6524FFE-28B6-4A3F-83D6-64053B4BAC85}"/>
</file>

<file path=customXml/itemProps3.xml><?xml version="1.0" encoding="utf-8"?>
<ds:datastoreItem xmlns:ds="http://schemas.openxmlformats.org/officeDocument/2006/customXml" ds:itemID="{B8D52767-35A5-4587-A631-21DDFEC6461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Ebru Maytalman</cp:lastModifiedBy>
  <cp:revision/>
  <dcterms:created xsi:type="dcterms:W3CDTF">2025-12-11T11:11:54Z</dcterms:created>
  <dcterms:modified xsi:type="dcterms:W3CDTF">2026-02-04T10:46:59Z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0x010100EC3B070530D8654BAD404EFFEE673E2D</vt:lpwstr>
  </property>
  <property fmtid="{D5CDD505-2E9C-101B-9397-08002B2CF9AE}" pid="3" name="MediaServiceImageTags">
    <vt:lpwstr/>
  </property>
</Properties>
</file>